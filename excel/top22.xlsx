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вгуст 2023" sheetId="1" state="visible" r:id="rId2"/>
    <sheet name="Ценовой баланс в категориях" sheetId="2" state="hidden" r:id="rId3"/>
    <sheet name="Лист1" sheetId="3" state="hidden" r:id="rId4"/>
  </sheets>
  <definedNames>
    <definedName function="false" hidden="false" localSheetId="0" name="_xlnm._FilterDatabase" vbProcedure="false">'август 2023'!$A$2:$E$52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<sst xmlns="http://schemas.openxmlformats.org/spreadsheetml/2006/main" count="253" uniqueCount="164">
  <si>
    <t xml:space="preserve">Артикул в Metacommerce</t>
  </si>
  <si>
    <t xml:space="preserve">category</t>
  </si>
  <si>
    <t xml:space="preserve">barcode</t>
  </si>
  <si>
    <t xml:space="preserve">goods</t>
  </si>
  <si>
    <t xml:space="preserve">Консервация</t>
  </si>
  <si>
    <t xml:space="preserve">АНАНАСЫ КОНС.ЭКОЛАЙН НЬЮ КУС.В СИР.565Г</t>
  </si>
  <si>
    <t xml:space="preserve">Парфюмерно-косметические товары</t>
  </si>
  <si>
    <t xml:space="preserve">АНТИП.-КАРАНД.РЕКСОНА КОБАЛЬТ 50Г</t>
  </si>
  <si>
    <t xml:space="preserve">Бакалея</t>
  </si>
  <si>
    <t xml:space="preserve">АРАХИС НИКИТИН ЖАР.СОЛ.200Г</t>
  </si>
  <si>
    <t xml:space="preserve">АРАХИС ОТ МАРТИНА ЖАР.С СОЛЬЮ 100Г</t>
  </si>
  <si>
    <t xml:space="preserve">Алкоголь</t>
  </si>
  <si>
    <t xml:space="preserve">БАЛЬЗАМ ЧЕРНЫЙ РЫЦАРЬ 40% 0.2Л</t>
  </si>
  <si>
    <t xml:space="preserve">БАЛЬЗАМ ЧЕРНЫЙ РЫЦАРЬ 40% 0.5Л</t>
  </si>
  <si>
    <t xml:space="preserve">Хлеб и хлебобулочные изделия поставщиков</t>
  </si>
  <si>
    <t xml:space="preserve">БАТОН ДЛЯ ВАШЕЙ СЕМЬИ В/С УПАК.НАР.500Г</t>
  </si>
  <si>
    <t xml:space="preserve">Мучные изделия</t>
  </si>
  <si>
    <t xml:space="preserve">БАТОНЧИК ВАФ.ВИТЬБА 35Г</t>
  </si>
  <si>
    <t xml:space="preserve">БАТОНЧИК КИНДЕР ШОКОЛАД МАКСИ 21Г</t>
  </si>
  <si>
    <t xml:space="preserve">БАТОНЧИК ПИКНИК БИГ 76Г</t>
  </si>
  <si>
    <t xml:space="preserve">Сахарные кондитерские изделия</t>
  </si>
  <si>
    <t xml:space="preserve">БАТОНЧИК ШОК.БАУНТИ 55Г</t>
  </si>
  <si>
    <t xml:space="preserve">БАТОНЧИК ШОК.МАРС 50Г</t>
  </si>
  <si>
    <t xml:space="preserve">БАТОНЧИК ШОК.СНИКЕРС АРАХ/КАРАМ.НУГА 80Г</t>
  </si>
  <si>
    <t xml:space="preserve">БАТОНЧИК ШОК.СНИКЕРС АРАХ/НУГА/КАР.50.5Г</t>
  </si>
  <si>
    <t xml:space="preserve">БАТОНЧИК ШОК.СНИКЕРС ЛЕСНОЙ ОРЕХ 81Г</t>
  </si>
  <si>
    <t xml:space="preserve">БАТОНЧИК ШОК.ТВИКС ЭКСТРА 82Г</t>
  </si>
  <si>
    <t xml:space="preserve">Здоровое питание</t>
  </si>
  <si>
    <t xml:space="preserve">БАТОНЧИК-МЮСЛИ ЗЛАКИ КЛЮКВА 35Г</t>
  </si>
  <si>
    <t xml:space="preserve">Молочная продукция</t>
  </si>
  <si>
    <t xml:space="preserve">БИОЙОГ.АКТИВИА 2.2% АН/БАН/БАЗ/КУР.140Г</t>
  </si>
  <si>
    <t xml:space="preserve">БИОЙОГ.АКТИВИА 2.2% КИВ/ЯБЛ/ЧИА 140Г</t>
  </si>
  <si>
    <t xml:space="preserve">БИОЙОГУРТ АКТИВИА 2% МАНГ/ПАП/МАРАК.140Г</t>
  </si>
  <si>
    <t xml:space="preserve">БИОЙОГУРТ АКТИВИА 2% ЯБЛ/ВИШ/ФИНИК 260Г</t>
  </si>
  <si>
    <t xml:space="preserve">БИОЙОГУРТ АКТИВИА 2.1% ЧЕРН/ЗЛ/СЕМ.260Г</t>
  </si>
  <si>
    <t xml:space="preserve">БИОЙОГУРТ АКТИВИЯ 2% ВИШ/ЕЖ/ЧИА/БАЗ.140Г</t>
  </si>
  <si>
    <t xml:space="preserve">БИОЙОГУРТ ПИТ.АКТИВИА 2% ЯБЛ/ЗЛ/КИН.260Г</t>
  </si>
  <si>
    <t xml:space="preserve">БИОКЕФИР ЗДРАВУШКА 1% ПЭТ/БУТ 930Г</t>
  </si>
  <si>
    <t xml:space="preserve">БИОНАПИТОК К/М АКТИВИЛ 2.0% БАНАН 500Г</t>
  </si>
  <si>
    <t xml:space="preserve">БИОНАПИТОК К/М АКТИВИЛ 2.0% КЛУБН.500Г</t>
  </si>
  <si>
    <t xml:space="preserve">БИОНАПИТОК К/М АКТИВИЛ 2.0% ЛЕСН.ЯГ.500Г</t>
  </si>
  <si>
    <t xml:space="preserve">БИОНАПИТОК К/М АКТИВИЛ 2.0% МАЛИНА 500Г</t>
  </si>
  <si>
    <t xml:space="preserve">БИОНАПИТОК К/М АКТИВИЛ 2.0% ПЕРСИК 500Г</t>
  </si>
  <si>
    <t xml:space="preserve">БИОПРОД.К/М БИФИТАТ 2.5% 500Г</t>
  </si>
  <si>
    <t xml:space="preserve">Блинчики</t>
  </si>
  <si>
    <t xml:space="preserve">БЛИНЧИКИ БАБУШКА АНЯ С ВЕТЧИН/СЫРОМ 420Г</t>
  </si>
  <si>
    <t xml:space="preserve">Замороженные продукты</t>
  </si>
  <si>
    <t xml:space="preserve">БЛИНЧИКИ БАБУШКА АНЯ С КУРИЦЕЙ 420Г</t>
  </si>
  <si>
    <t xml:space="preserve">БРЕНДИ КРИСТАЛЛ ЛЮКС 40% 0.5Л</t>
  </si>
  <si>
    <t xml:space="preserve">БУЛЬОН ГБ КУРИНЫЙ 8*10Г</t>
  </si>
  <si>
    <t xml:space="preserve">Бумажно-санитарная продукция</t>
  </si>
  <si>
    <t xml:space="preserve">БУМАГА ТУАЛ.ПЕРО ЛАЙТ 3-ХСЛ.БЕЛ.4РУЛ.</t>
  </si>
  <si>
    <t xml:space="preserve">БУМАГА ТУАЛ.ЗЕВА ДЕЛЮКС БЕЛАЯ 4РУЛ.</t>
  </si>
  <si>
    <t xml:space="preserve">БУМАГА ТУАЛ.ЛИЛИЯ 2-ХСЛ.БЕЛ.4ШТ</t>
  </si>
  <si>
    <t xml:space="preserve">БУМАГА ТУАЛ.СОФИОНЕ ЛАВАНДА 3-ХСЛ.4РУЛ.</t>
  </si>
  <si>
    <t xml:space="preserve">Вареники</t>
  </si>
  <si>
    <t xml:space="preserve">ВАРЕНИКИ БАБУШКА АНЯ С ТВОРОГОМ 430Г</t>
  </si>
  <si>
    <t xml:space="preserve">ВАРЕНЬЕ МР.РИККО МАЛИНОВОЕ 400Г</t>
  </si>
  <si>
    <t xml:space="preserve">ВАФЛИ ВИТОША ВК.ШОКОЛАДА 143Г</t>
  </si>
  <si>
    <t xml:space="preserve">ВАФЛИ НЯМ-НЯМКА ВК.ШОКОЛАДА 200Г </t>
  </si>
  <si>
    <t xml:space="preserve">ВАФЛИ НЯМ-НЯМКА ВК.ШОКОЛАДА 330Г</t>
  </si>
  <si>
    <t xml:space="preserve">ВАФЛИ СПАРТАК ЧЕРНОМОРСКИЕ 72Г</t>
  </si>
  <si>
    <t xml:space="preserve">ВАФЛИ СПАРТАК ЧЕРНОМОРСКИЕ ФЛОУ-ПАК 216Г</t>
  </si>
  <si>
    <t xml:space="preserve">ВАФЛИ ЯШКИНО ГЛАЗ.С ОРЕШКАМИ 200Г</t>
  </si>
  <si>
    <t xml:space="preserve">ВЕРМУТ МАРТИНИ БИАНКО 0.5Л</t>
  </si>
  <si>
    <t xml:space="preserve">Колбасные изделия</t>
  </si>
  <si>
    <t xml:space="preserve">ВЕТЧИНА ВАР.БАЛЕРОН НЕЖНЫЙ 450Г брест</t>
  </si>
  <si>
    <t xml:space="preserve">Бытовая химия</t>
  </si>
  <si>
    <t xml:space="preserve">ГЕЛЬ Д/СТИР.АРИЭЛЬ КАПС.КОЛОР 12*23.8Г</t>
  </si>
  <si>
    <t xml:space="preserve">ГОРОХ КОЛОТЫЙ ЭКОЛАЙН ФАС.900Г</t>
  </si>
  <si>
    <t xml:space="preserve">Соседи</t>
  </si>
  <si>
    <t xml:space="preserve">Евро</t>
  </si>
  <si>
    <t xml:space="preserve">Баланс Евро</t>
  </si>
  <si>
    <t xml:space="preserve">Виталюр</t>
  </si>
  <si>
    <t xml:space="preserve">Баланс Вит</t>
  </si>
  <si>
    <t xml:space="preserve">Рублевский</t>
  </si>
  <si>
    <t xml:space="preserve">Баланс Рублевский</t>
  </si>
  <si>
    <t xml:space="preserve">корона</t>
  </si>
  <si>
    <t xml:space="preserve">Баланс корона</t>
  </si>
  <si>
    <t xml:space="preserve">гиппо</t>
  </si>
  <si>
    <t xml:space="preserve">Баланс Гиппо</t>
  </si>
  <si>
    <t xml:space="preserve">Среднее</t>
  </si>
  <si>
    <t xml:space="preserve">баланс</t>
  </si>
  <si>
    <t xml:space="preserve">Алкоголь </t>
  </si>
  <si>
    <t xml:space="preserve">Бакалея </t>
  </si>
  <si>
    <t xml:space="preserve">Колбасные изделия </t>
  </si>
  <si>
    <t xml:space="preserve">Консервация </t>
  </si>
  <si>
    <t xml:space="preserve">Молочная продукция </t>
  </si>
  <si>
    <t xml:space="preserve">Мучные кондитерские изделия</t>
  </si>
  <si>
    <t xml:space="preserve">Напитки , соки, вода </t>
  </si>
  <si>
    <t xml:space="preserve">Рыба, продукты из рыбы</t>
  </si>
  <si>
    <t xml:space="preserve">Сахарные кондитерские изделия </t>
  </si>
  <si>
    <t xml:space="preserve">Хлеб и хлебобулочные изделия </t>
  </si>
  <si>
    <t xml:space="preserve">Евроопт</t>
  </si>
  <si>
    <t xml:space="preserve">Высокие</t>
  </si>
  <si>
    <t xml:space="preserve">Низкие</t>
  </si>
  <si>
    <t xml:space="preserve">Средние</t>
  </si>
  <si>
    <t xml:space="preserve">Красный</t>
  </si>
  <si>
    <t xml:space="preserve">Зеленый</t>
  </si>
  <si>
    <t xml:space="preserve">Всего</t>
  </si>
  <si>
    <t xml:space="preserve">Алкоголь (179)</t>
  </si>
  <si>
    <t xml:space="preserve">Бакалея (88)</t>
  </si>
  <si>
    <t xml:space="preserve">Замороженные продукты (50)</t>
  </si>
  <si>
    <t xml:space="preserve">Колбасные изделия (43)</t>
  </si>
  <si>
    <t xml:space="preserve">Консервация (24)</t>
  </si>
  <si>
    <t xml:space="preserve">Молочная продукция (178)</t>
  </si>
  <si>
    <t xml:space="preserve">Мучные кондитерские изделия (18)</t>
  </si>
  <si>
    <t xml:space="preserve">Напитки , соки, вода (66)</t>
  </si>
  <si>
    <t xml:space="preserve">Рыба, продукты из рыбы (18)</t>
  </si>
  <si>
    <t xml:space="preserve">Сахарные кондитерские изделия (54)</t>
  </si>
  <si>
    <t xml:space="preserve">Хлеб и хлебобулочные изделия (20)</t>
  </si>
  <si>
    <t xml:space="preserve">Европ</t>
  </si>
  <si>
    <t xml:space="preserve">Алкоголь (128)</t>
  </si>
  <si>
    <t xml:space="preserve">Бакалея (72)</t>
  </si>
  <si>
    <t xml:space="preserve">Замороженные продукты (42)</t>
  </si>
  <si>
    <t xml:space="preserve">Колбасные изделия (30)</t>
  </si>
  <si>
    <t xml:space="preserve">Консервация (15)</t>
  </si>
  <si>
    <t xml:space="preserve">Молочная продукция (159)</t>
  </si>
  <si>
    <t xml:space="preserve">Мучные кондитерские изделия (14)</t>
  </si>
  <si>
    <t xml:space="preserve">Напитки , соки, вода (63)</t>
  </si>
  <si>
    <t xml:space="preserve">Рыба, продукты из рыбы (14)</t>
  </si>
  <si>
    <t xml:space="preserve">Сахарные кондитерские изделия (45)</t>
  </si>
  <si>
    <t xml:space="preserve">Хлеб и хлебобулочные изделия (15)</t>
  </si>
  <si>
    <t xml:space="preserve">Вит</t>
  </si>
  <si>
    <t xml:space="preserve">Алкоголь (145)</t>
  </si>
  <si>
    <t xml:space="preserve">Бакалея (68)</t>
  </si>
  <si>
    <t xml:space="preserve">Замороженные продукты (40)</t>
  </si>
  <si>
    <t xml:space="preserve">Колбасные изделия (19)</t>
  </si>
  <si>
    <t xml:space="preserve">Консервация (12)</t>
  </si>
  <si>
    <t xml:space="preserve">Молочная продукция (142)</t>
  </si>
  <si>
    <t xml:space="preserve">Мучные кондитерские изделия (16)</t>
  </si>
  <si>
    <t xml:space="preserve">Напитки , соки, вода (58)</t>
  </si>
  <si>
    <t xml:space="preserve">Рыба, продукты из рыбы (11)</t>
  </si>
  <si>
    <t xml:space="preserve">Сахарные кондитерские изделия (50)</t>
  </si>
  <si>
    <t xml:space="preserve">Хлеб и хлебобулочные изделия (17)</t>
  </si>
  <si>
    <t xml:space="preserve">Рубль</t>
  </si>
  <si>
    <t xml:space="preserve">Алкоголь (107)</t>
  </si>
  <si>
    <t xml:space="preserve">Бакалея (65)</t>
  </si>
  <si>
    <t xml:space="preserve">Замороженные продукты (26)</t>
  </si>
  <si>
    <t xml:space="preserve">Колбасные изделия (22)</t>
  </si>
  <si>
    <t xml:space="preserve">Консервация (11)</t>
  </si>
  <si>
    <t xml:space="preserve">Молочная продукция (111)</t>
  </si>
  <si>
    <t xml:space="preserve">Мучные кондитерские изделия (11)</t>
  </si>
  <si>
    <t xml:space="preserve">Напитки , соки, вода (56)</t>
  </si>
  <si>
    <t xml:space="preserve">Рыба, продукты из рыбы (10)</t>
  </si>
  <si>
    <t xml:space="preserve">Сахарные кондитерские изделия (42)</t>
  </si>
  <si>
    <t xml:space="preserve">Корона</t>
  </si>
  <si>
    <t xml:space="preserve">Алкоголь (157)</t>
  </si>
  <si>
    <t xml:space="preserve">Замороженные продукты (22)</t>
  </si>
  <si>
    <t xml:space="preserve">Колбасные изделия (28)</t>
  </si>
  <si>
    <t xml:space="preserve">Молочная продукция (129)</t>
  </si>
  <si>
    <t xml:space="preserve">Гиппо</t>
  </si>
  <si>
    <t xml:space="preserve">Мучные кондитерские изделия (13)</t>
  </si>
  <si>
    <t xml:space="preserve">Напитки , соки, вода (57)</t>
  </si>
  <si>
    <t xml:space="preserve">Рыба, продукты из рыбы (13)</t>
  </si>
  <si>
    <t xml:space="preserve">Сахарные кондитерские изделия (46)</t>
  </si>
  <si>
    <t xml:space="preserve">Алкоголь (140)</t>
  </si>
  <si>
    <t xml:space="preserve">Бакалея (71)</t>
  </si>
  <si>
    <t xml:space="preserve">Замороженные продукты (44)</t>
  </si>
  <si>
    <t xml:space="preserve">Колбасные изделия (29)</t>
  </si>
  <si>
    <t xml:space="preserve">Консервация (17)</t>
  </si>
  <si>
    <t xml:space="preserve">Молочная продукция (138)</t>
  </si>
  <si>
    <t xml:space="preserve">Мучные кондитерские изделия (15)</t>
  </si>
  <si>
    <t xml:space="preserve">Рыба, продукты из рыбы (17)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</si>
</sst>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"/>
    <numFmt numFmtId="167" formatCode="0.0%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b val="true"/>
      <sz val="8"/>
      <color rgb="FF363636"/>
      <name val="Tahoma"/>
      <family val="2"/>
      <charset val="1"/>
    </font>
    <font>
      <sz val="12"/>
      <name val="Calibri"/>
      <family val="2"/>
      <charset val="204"/>
    </font>
    <font>
      <sz val="14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5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1" xfId="2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4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15" xfId="20"/>
    <cellStyle name="Обычный 16" xfId="21"/>
    <cellStyle name="Обычный 17" xfId="22"/>
    <cellStyle name="Обычный 2" xfId="23"/>
    <cellStyle name="Обычный 2 2" xfId="24"/>
    <cellStyle name="Обычный 2 2 2" xfId="25"/>
    <cellStyle name="Обычный 2 2 3" xfId="26"/>
    <cellStyle name="Обычный 3" xfId="27"/>
    <cellStyle name="Обычный 3 2" xfId="28"/>
    <cellStyle name="Обычный 4" xfId="29"/>
    <cellStyle name="Обычный 5" xfId="30"/>
    <cellStyle name="Обычный 5 2" xfId="31"/>
    <cellStyle name="Обычный 5 3" xfId="32"/>
    <cellStyle name="Обычный 5 4" xfId="33"/>
    <cellStyle name="Обычный 6" xfId="34"/>
    <cellStyle name="Обычный 6 2" xfId="35"/>
    <cellStyle name="Обычный 6 3" xfId="36"/>
    <cellStyle name="Обычный 6 4" xfId="37"/>
    <cellStyle name="Обычный 7" xfId="38"/>
    <cellStyle name="Обычный 7 2" xfId="39"/>
    <cellStyle name="Обычный 8" xfId="40"/>
    <cellStyle name="Обычный 9" xfId="41"/>
    <cellStyle name="Процентный 2" xfId="42"/>
    <cellStyle name="Процентный 3" xfId="43"/>
    <cellStyle name="Процентный 4" xfId="44"/>
    <cellStyle name="Процентный 4 2" xfId="45"/>
    <cellStyle name="Процентный 5" xfId="46"/>
    <cellStyle name="Процентный 5 2" xfId="47"/>
    <cellStyle name="Процентный 5 3" xfId="48"/>
    <cellStyle name="Процентный 5 4" xfId="49"/>
    <cellStyle name="Процентный 5 4 2" xfId="50"/>
    <cellStyle name="Процентный 6" xfId="51"/>
    <cellStyle name="Процентный 7" xfId="52"/>
    <cellStyle name="Процентный 8" xfId="53"/>
    <cellStyle name="Процентный 9" xfId="54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B8B8B"/>
      <rgbColor rgb="FF5B9BD5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63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000000"/>
                </a:solidFill>
                <a:latin typeface="Calibri"/>
              </a:rPr>
              <a:t>Разница с Евроопт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'Ценовой баланс в категориях'!$E$3</c:f>
              <c:strCache>
                <c:ptCount val="1"/>
                <c:pt idx="0">
                  <c:v>Баланс Евро</c:v>
                </c:pt>
              </c:strCache>
            </c:strRef>
          </c:tx>
          <c:spPr>
            <a:solidFill>
              <a:srgbClr val="f8cbad"/>
            </a:solidFill>
            <a:ln>
              <a:noFill/>
            </a:ln>
          </c:spPr>
          <c:invertIfNegative val="0"/>
          <c:dLbls>
            <c:numFmt formatCode="0.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'Ценовой баланс в категориях'!$B$4:$B$14</c:f>
              <c:strCache>
                <c:ptCount val="11"/>
                <c:pt idx="0">
                  <c:v>Алкоголь </c:v>
                </c:pt>
                <c:pt idx="1">
                  <c:v>Бакалея </c:v>
                </c:pt>
                <c:pt idx="2">
                  <c:v>Замороженные продукты</c:v>
                </c:pt>
                <c:pt idx="3">
                  <c:v>Колбасные изделия </c:v>
                </c:pt>
                <c:pt idx="4">
                  <c:v>Консервация </c:v>
                </c:pt>
                <c:pt idx="5">
                  <c:v>Молочная продукция </c:v>
                </c:pt>
                <c:pt idx="6">
                  <c:v>Мучные кондитерские изделия</c:v>
                </c:pt>
                <c:pt idx="7">
                  <c:v>Напитки , соки, вода </c:v>
                </c:pt>
                <c:pt idx="8">
                  <c:v>Рыба, продукты из рыбы</c:v>
                </c:pt>
                <c:pt idx="9">
                  <c:v>Сахарные кондитерские изделия </c:v>
                </c:pt>
                <c:pt idx="10">
                  <c:v>Хлеб и хлебобулочные изделия </c:v>
                </c:pt>
              </c:strCache>
            </c:strRef>
          </c:cat>
          <c:val>
            <c:numRef>
              <c:f>'Ценовой баланс в категориях'!$E$4:$E$14</c:f>
              <c:numCache>
                <c:formatCode>General</c:formatCode>
                <c:ptCount val="11"/>
                <c:pt idx="0">
                  <c:v>0.109979549540894</c:v>
                </c:pt>
                <c:pt idx="1">
                  <c:v>0.0291136079900125</c:v>
                </c:pt>
                <c:pt idx="2">
                  <c:v>0.073349027381985</c:v>
                </c:pt>
                <c:pt idx="3">
                  <c:v>0.00196840458284964</c:v>
                </c:pt>
                <c:pt idx="4">
                  <c:v>0.0833909237502881</c:v>
                </c:pt>
                <c:pt idx="5">
                  <c:v>0.0117051080323907</c:v>
                </c:pt>
                <c:pt idx="7">
                  <c:v>0.0665487073626265</c:v>
                </c:pt>
                <c:pt idx="9">
                  <c:v>0.0617719354493962</c:v>
                </c:pt>
                <c:pt idx="10">
                  <c:v>0.0239043824701195</c:v>
                </c:pt>
              </c:numCache>
            </c:numRef>
          </c:val>
        </c:ser>
        <c:gapWidth val="182"/>
        <c:overlap val="0"/>
        <c:axId val="5808005"/>
        <c:axId val="34424264"/>
      </c:barChart>
      <c:catAx>
        <c:axId val="580800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24264"/>
        <c:crosses val="autoZero"/>
        <c:auto val="1"/>
        <c:lblAlgn val="ctr"/>
        <c:lblOffset val="100"/>
        <c:noMultiLvlLbl val="0"/>
      </c:catAx>
      <c:valAx>
        <c:axId val="34424264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8005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000000"/>
                </a:solidFill>
                <a:latin typeface="Calibri"/>
              </a:rPr>
              <a:t>Разница с Виталюр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'Ценовой баланс в категориях'!$H$3</c:f>
              <c:strCache>
                <c:ptCount val="1"/>
                <c:pt idx="0">
                  <c:v>Баланс Вит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Pt>
            <c:idx val="2"/>
            <c:invertIfNegative val="0"/>
            <c:spPr>
              <a:solidFill>
                <a:srgbClr val="5b9bd5"/>
              </a:solidFill>
              <a:ln>
                <a:noFill/>
              </a:ln>
            </c:spPr>
          </c:dPt>
          <c:dPt>
            <c:idx val="3"/>
            <c:invertIfNegative val="0"/>
            <c:spPr>
              <a:solidFill>
                <a:srgbClr val="5b9bd5"/>
              </a:solidFill>
              <a:ln>
                <a:noFill/>
              </a:ln>
            </c:spPr>
          </c:dPt>
          <c:dPt>
            <c:idx val="4"/>
            <c:invertIfNegative val="0"/>
            <c:spPr>
              <a:solidFill>
                <a:srgbClr val="5b9bd5"/>
              </a:solidFill>
              <a:ln>
                <a:noFill/>
              </a:ln>
            </c:spPr>
          </c:dPt>
          <c:dPt>
            <c:idx val="7"/>
            <c:invertIfNegative val="0"/>
            <c:spPr>
              <a:solidFill>
                <a:srgbClr val="5b9bd5"/>
              </a:solidFill>
              <a:ln>
                <a:noFill/>
              </a:ln>
            </c:spPr>
          </c:dPt>
          <c:dPt>
            <c:idx val="9"/>
            <c:invertIfNegative val="0"/>
            <c:spPr>
              <a:solidFill>
                <a:srgbClr val="5b9bd5"/>
              </a:solidFill>
              <a:ln>
                <a:noFill/>
              </a:ln>
            </c:spPr>
          </c:dPt>
          <c:dLbls>
            <c:numFmt formatCode="0.0%" sourceLinked="1"/>
            <c:dLbl>
              <c:idx val="2"/>
              <c:numFmt formatCode="0.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0.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'Ценовой баланс в категориях'!$B$4:$B$14</c:f>
              <c:strCache>
                <c:ptCount val="11"/>
                <c:pt idx="0">
                  <c:v>Алкоголь </c:v>
                </c:pt>
                <c:pt idx="1">
                  <c:v>Бакалея </c:v>
                </c:pt>
                <c:pt idx="2">
                  <c:v>Замороженные продукты</c:v>
                </c:pt>
                <c:pt idx="3">
                  <c:v>Колбасные изделия </c:v>
                </c:pt>
                <c:pt idx="4">
                  <c:v>Консервация </c:v>
                </c:pt>
                <c:pt idx="5">
                  <c:v>Молочная продукция </c:v>
                </c:pt>
                <c:pt idx="6">
                  <c:v>Мучные кондитерские изделия</c:v>
                </c:pt>
                <c:pt idx="7">
                  <c:v>Напитки , соки, вода </c:v>
                </c:pt>
                <c:pt idx="8">
                  <c:v>Рыба, продукты из рыбы</c:v>
                </c:pt>
                <c:pt idx="9">
                  <c:v>Сахарные кондитерские изделия </c:v>
                </c:pt>
                <c:pt idx="10">
                  <c:v>Хлеб и хлебобулочные изделия </c:v>
                </c:pt>
              </c:strCache>
            </c:strRef>
          </c:cat>
          <c:val>
            <c:numRef>
              <c:f>'Ценовой баланс в категориях'!$H$4:$H$14</c:f>
              <c:numCache>
                <c:formatCode>General</c:formatCode>
                <c:ptCount val="11"/>
                <c:pt idx="0">
                  <c:v>0.00777793806501248</c:v>
                </c:pt>
                <c:pt idx="1">
                  <c:v>0.00322598283121001</c:v>
                </c:pt>
                <c:pt idx="2">
                  <c:v>-0.00538028857911466</c:v>
                </c:pt>
                <c:pt idx="3">
                  <c:v>-0.0218255892909108</c:v>
                </c:pt>
                <c:pt idx="4">
                  <c:v>-0.00523756079311633</c:v>
                </c:pt>
                <c:pt idx="5">
                  <c:v>0.0339793814432989</c:v>
                </c:pt>
                <c:pt idx="7">
                  <c:v>0.0334957369062119</c:v>
                </c:pt>
                <c:pt idx="9">
                  <c:v>-0.00104612458392772</c:v>
                </c:pt>
                <c:pt idx="10">
                  <c:v>0.0239477503628447</c:v>
                </c:pt>
              </c:numCache>
            </c:numRef>
          </c:val>
        </c:ser>
        <c:gapWidth val="150"/>
        <c:overlap val="100"/>
        <c:axId val="90160830"/>
        <c:axId val="35419844"/>
      </c:barChart>
      <c:catAx>
        <c:axId val="901608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19844"/>
        <c:crosses val="autoZero"/>
        <c:auto val="1"/>
        <c:lblAlgn val="ctr"/>
        <c:lblOffset val="100"/>
        <c:noMultiLvlLbl val="0"/>
      </c:catAx>
      <c:valAx>
        <c:axId val="35419844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60830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47520</xdr:colOff>
      <xdr:row>15</xdr:row>
      <xdr:rowOff>14400</xdr:rowOff>
    </xdr:from>
    <xdr:to>
      <xdr:col>6</xdr:col>
      <xdr:colOff>18360</xdr:colOff>
      <xdr:row>29</xdr:row>
      <xdr:rowOff>90000</xdr:rowOff>
    </xdr:to>
    <xdr:graphicFrame>
      <xdr:nvGraphicFramePr>
        <xdr:cNvPr id="0" name="Диаграмма 1"/>
        <xdr:cNvGraphicFramePr/>
      </xdr:nvGraphicFramePr>
      <xdr:xfrm>
        <a:off x="806760" y="2757600"/>
        <a:ext cx="5893560" cy="263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419040</xdr:colOff>
      <xdr:row>15</xdr:row>
      <xdr:rowOff>33480</xdr:rowOff>
    </xdr:from>
    <xdr:to>
      <xdr:col>14</xdr:col>
      <xdr:colOff>113400</xdr:colOff>
      <xdr:row>29</xdr:row>
      <xdr:rowOff>109080</xdr:rowOff>
    </xdr:to>
    <xdr:graphicFrame>
      <xdr:nvGraphicFramePr>
        <xdr:cNvPr id="1" name="Диаграмма 2"/>
        <xdr:cNvGraphicFramePr/>
      </xdr:nvGraphicFramePr>
      <xdr:xfrm>
        <a:off x="7101000" y="2776680"/>
        <a:ext cx="6245640" cy="263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53" activeCellId="0" sqref="A53"/>
    </sheetView>
  </sheetViews>
  <sheetFormatPr defaultColWidth="9.1171875" defaultRowHeight="13.8" zeroHeight="false" outlineLevelRow="0" outlineLevelCol="0"/>
  <cols>
    <col collapsed="false" customWidth="true" hidden="true" outlineLevel="0" max="1" min="1" style="1" width="3.89"/>
    <col collapsed="false" customWidth="true" hidden="false" outlineLevel="0" max="2" min="2" style="1" width="29.33"/>
    <col collapsed="false" customWidth="true" hidden="false" outlineLevel="0" max="3" min="3" style="2" width="29.11"/>
    <col collapsed="false" customWidth="true" hidden="false" outlineLevel="0" max="4" min="4" style="1" width="56.11"/>
    <col collapsed="false" customWidth="true" hidden="false" outlineLevel="0" max="5" min="5" style="1" width="15.11"/>
    <col collapsed="false" customWidth="false" hidden="false" outlineLevel="0" max="1018" min="6" style="1" width="9.11"/>
  </cols>
  <sheetData>
    <row r="1" s="6" customFormat="true" ht="21" hidden="false" customHeight="true" outlineLevel="0" collapsed="false">
      <c r="A1" s="3" t="s">
        <v>0</v>
      </c>
      <c r="B1" s="4" t="s">
        <v>1</v>
      </c>
      <c r="C1" s="5" t="s">
        <v>2</v>
      </c>
      <c r="D1" s="4" t="s">
        <v>3</v>
      </c>
      <c r="AME1" s="0"/>
      <c r="AMF1" s="0"/>
      <c r="AMG1" s="0"/>
      <c r="AMH1" s="0"/>
      <c r="AMI1" s="0"/>
      <c r="AMJ1" s="0"/>
    </row>
    <row r="2" customFormat="false" ht="15.75" hidden="false" customHeight="true" outlineLevel="0" collapsed="false">
      <c r="A2" s="7" t="n">
        <v>667646</v>
      </c>
      <c r="B2" s="8" t="s">
        <v>4</v>
      </c>
      <c r="C2" s="9" t="n">
        <v>4811180005824</v>
      </c>
      <c r="D2" s="10" t="s">
        <v>5</v>
      </c>
    </row>
    <row r="3" customFormat="false" ht="15.9" hidden="false" customHeight="true" outlineLevel="0" collapsed="false">
      <c r="A3" s="7"/>
      <c r="B3" s="8" t="s">
        <v>6</v>
      </c>
      <c r="C3" s="9" t="n">
        <v>73103714.4614361</v>
      </c>
      <c r="D3" s="10" t="s">
        <v>7</v>
      </c>
    </row>
    <row r="4" customFormat="false" ht="15.9" hidden="false" customHeight="true" outlineLevel="0" collapsed="false">
      <c r="A4" s="7" t="n">
        <v>460341</v>
      </c>
      <c r="B4" s="8" t="s">
        <v>8</v>
      </c>
      <c r="C4" s="9" t="n">
        <v>4811564000155</v>
      </c>
      <c r="D4" s="10" t="s">
        <v>9</v>
      </c>
    </row>
    <row r="5" customFormat="false" ht="15.9" hidden="false" customHeight="true" outlineLevel="0" collapsed="false">
      <c r="A5" s="7" t="n">
        <v>733326</v>
      </c>
      <c r="B5" s="8" t="s">
        <v>8</v>
      </c>
      <c r="C5" s="9" t="n">
        <v>4607012352804</v>
      </c>
      <c r="D5" s="10" t="s">
        <v>10</v>
      </c>
    </row>
    <row r="6" customFormat="false" ht="15.9" hidden="false" customHeight="true" outlineLevel="0" collapsed="false">
      <c r="A6" s="7" t="n">
        <v>733033</v>
      </c>
      <c r="B6" s="8" t="s">
        <v>11</v>
      </c>
      <c r="C6" s="9" t="n">
        <v>4810417003374</v>
      </c>
      <c r="D6" s="10" t="s">
        <v>12</v>
      </c>
    </row>
    <row r="7" customFormat="false" ht="15.9" hidden="false" customHeight="true" outlineLevel="0" collapsed="false">
      <c r="A7" s="7"/>
      <c r="B7" s="8" t="s">
        <v>11</v>
      </c>
      <c r="C7" s="9" t="n">
        <v>4810417004500</v>
      </c>
      <c r="D7" s="10" t="s">
        <v>13</v>
      </c>
    </row>
    <row r="8" customFormat="false" ht="15.9" hidden="false" customHeight="true" outlineLevel="0" collapsed="false">
      <c r="A8" s="7" t="n">
        <v>111110</v>
      </c>
      <c r="B8" s="8" t="s">
        <v>14</v>
      </c>
      <c r="C8" s="9" t="n">
        <v>4811229012509</v>
      </c>
      <c r="D8" s="10" t="s">
        <v>15</v>
      </c>
    </row>
    <row r="9" customFormat="false" ht="15.9" hidden="false" customHeight="true" outlineLevel="0" collapsed="false">
      <c r="A9" s="7" t="n">
        <v>732975</v>
      </c>
      <c r="B9" s="8" t="s">
        <v>16</v>
      </c>
      <c r="C9" s="9" t="n">
        <v>4810128000280</v>
      </c>
      <c r="D9" s="10" t="s">
        <v>17</v>
      </c>
    </row>
    <row r="10" customFormat="false" ht="15.9" hidden="false" customHeight="true" outlineLevel="0" collapsed="false">
      <c r="A10" s="7" t="n">
        <v>732976</v>
      </c>
      <c r="B10" s="8" t="s">
        <v>16</v>
      </c>
      <c r="C10" s="9" t="n">
        <v>40084077</v>
      </c>
      <c r="D10" s="10" t="s">
        <v>18</v>
      </c>
    </row>
    <row r="11" customFormat="false" ht="15.9" hidden="false" customHeight="true" outlineLevel="0" collapsed="false">
      <c r="A11" s="7" t="n">
        <v>701066</v>
      </c>
      <c r="B11" s="8" t="s">
        <v>16</v>
      </c>
      <c r="C11" s="9" t="n">
        <v>7622210357915</v>
      </c>
      <c r="D11" s="10" t="s">
        <v>19</v>
      </c>
    </row>
    <row r="12" customFormat="false" ht="15.9" hidden="false" customHeight="true" outlineLevel="0" collapsed="false">
      <c r="A12" s="7" t="n">
        <v>701048</v>
      </c>
      <c r="B12" s="8" t="s">
        <v>20</v>
      </c>
      <c r="C12" s="9" t="n">
        <v>4011100977624</v>
      </c>
      <c r="D12" s="10" t="s">
        <v>21</v>
      </c>
    </row>
    <row r="13" customFormat="false" ht="15.9" hidden="false" customHeight="true" outlineLevel="0" collapsed="false">
      <c r="A13" s="7" t="n">
        <v>733180</v>
      </c>
      <c r="B13" s="8" t="s">
        <v>20</v>
      </c>
      <c r="C13" s="9" t="n">
        <v>4011100091108</v>
      </c>
      <c r="D13" s="10" t="s">
        <v>22</v>
      </c>
    </row>
    <row r="14" customFormat="false" ht="15.9" hidden="false" customHeight="true" outlineLevel="0" collapsed="false">
      <c r="A14" s="7" t="n">
        <v>733184</v>
      </c>
      <c r="B14" s="8" t="s">
        <v>20</v>
      </c>
      <c r="C14" s="9" t="n">
        <v>4660085515163</v>
      </c>
      <c r="D14" s="10" t="s">
        <v>23</v>
      </c>
    </row>
    <row r="15" customFormat="false" ht="15.9" hidden="false" customHeight="true" outlineLevel="0" collapsed="false">
      <c r="A15" s="7" t="n">
        <v>733186</v>
      </c>
      <c r="B15" s="8" t="s">
        <v>20</v>
      </c>
      <c r="C15" s="9" t="n">
        <v>4607065001445</v>
      </c>
      <c r="D15" s="10" t="s">
        <v>24</v>
      </c>
    </row>
    <row r="16" customFormat="false" ht="15.9" hidden="false" customHeight="true" outlineLevel="0" collapsed="false">
      <c r="A16" s="7" t="n">
        <v>384984</v>
      </c>
      <c r="B16" s="8" t="s">
        <v>20</v>
      </c>
      <c r="C16" s="9" t="n">
        <v>5000159439480</v>
      </c>
      <c r="D16" s="10" t="s">
        <v>25</v>
      </c>
    </row>
    <row r="17" customFormat="false" ht="15.9" hidden="false" customHeight="true" outlineLevel="0" collapsed="false">
      <c r="A17" s="7" t="n">
        <v>422788</v>
      </c>
      <c r="B17" s="8" t="s">
        <v>20</v>
      </c>
      <c r="C17" s="9" t="n">
        <v>5000159390729</v>
      </c>
      <c r="D17" s="10" t="s">
        <v>26</v>
      </c>
    </row>
    <row r="18" customFormat="false" ht="15.9" hidden="false" customHeight="true" outlineLevel="0" collapsed="false">
      <c r="A18" s="7" t="n">
        <v>732930</v>
      </c>
      <c r="B18" s="8" t="s">
        <v>27</v>
      </c>
      <c r="C18" s="9" t="n">
        <v>4810067080855</v>
      </c>
      <c r="D18" s="10" t="s">
        <v>28</v>
      </c>
    </row>
    <row r="19" customFormat="false" ht="15.9" hidden="false" customHeight="true" outlineLevel="0" collapsed="false">
      <c r="A19" s="7"/>
      <c r="B19" s="8" t="s">
        <v>29</v>
      </c>
      <c r="C19" s="9" t="n">
        <v>4600605025611</v>
      </c>
      <c r="D19" s="10" t="s">
        <v>30</v>
      </c>
    </row>
    <row r="20" customFormat="false" ht="15.9" hidden="false" customHeight="true" outlineLevel="0" collapsed="false">
      <c r="A20" s="7" t="n">
        <v>665355</v>
      </c>
      <c r="B20" s="8" t="s">
        <v>29</v>
      </c>
      <c r="C20" s="9" t="n">
        <v>4600605025628</v>
      </c>
      <c r="D20" s="10" t="s">
        <v>31</v>
      </c>
    </row>
    <row r="21" customFormat="false" ht="15.9" hidden="false" customHeight="true" outlineLevel="0" collapsed="false">
      <c r="A21" s="7" t="n">
        <v>699040</v>
      </c>
      <c r="B21" s="8" t="s">
        <v>29</v>
      </c>
      <c r="C21" s="9" t="n">
        <v>4600605030721</v>
      </c>
      <c r="D21" s="10" t="s">
        <v>32</v>
      </c>
    </row>
    <row r="22" customFormat="false" ht="16.5" hidden="false" customHeight="true" outlineLevel="0" collapsed="false">
      <c r="A22" s="7" t="n">
        <v>418632</v>
      </c>
      <c r="B22" s="8" t="s">
        <v>29</v>
      </c>
      <c r="C22" s="9" t="n">
        <v>4600605028971</v>
      </c>
      <c r="D22" s="10" t="s">
        <v>33</v>
      </c>
    </row>
    <row r="23" customFormat="false" ht="15.9" hidden="false" customHeight="true" outlineLevel="0" collapsed="false">
      <c r="A23" s="7"/>
      <c r="B23" s="8" t="s">
        <v>29</v>
      </c>
      <c r="C23" s="9" t="n">
        <v>4600605026762</v>
      </c>
      <c r="D23" s="10" t="s">
        <v>34</v>
      </c>
    </row>
    <row r="24" customFormat="false" ht="15.9" hidden="false" customHeight="true" outlineLevel="0" collapsed="false">
      <c r="A24" s="7" t="n">
        <v>733254</v>
      </c>
      <c r="B24" s="8" t="s">
        <v>29</v>
      </c>
      <c r="C24" s="9" t="n">
        <v>4600605030738</v>
      </c>
      <c r="D24" s="10" t="s">
        <v>35</v>
      </c>
    </row>
    <row r="25" customFormat="false" ht="15.9" hidden="false" customHeight="true" outlineLevel="0" collapsed="false">
      <c r="A25" s="7" t="n">
        <v>733206</v>
      </c>
      <c r="B25" s="8" t="s">
        <v>29</v>
      </c>
      <c r="C25" s="9" t="n">
        <v>4600605029756</v>
      </c>
      <c r="D25" s="10" t="s">
        <v>36</v>
      </c>
    </row>
    <row r="26" customFormat="false" ht="15.9" hidden="false" customHeight="true" outlineLevel="0" collapsed="false">
      <c r="A26" s="7" t="n">
        <v>733228</v>
      </c>
      <c r="B26" s="8" t="s">
        <v>29</v>
      </c>
      <c r="C26" s="9" t="n">
        <v>4811269007749</v>
      </c>
      <c r="D26" s="10" t="s">
        <v>37</v>
      </c>
    </row>
    <row r="27" customFormat="false" ht="15.9" hidden="false" customHeight="true" outlineLevel="0" collapsed="false">
      <c r="A27" s="7" t="n">
        <v>733205</v>
      </c>
      <c r="B27" s="8" t="s">
        <v>29</v>
      </c>
      <c r="C27" s="9" t="n">
        <v>4810268041419</v>
      </c>
      <c r="D27" s="10" t="s">
        <v>38</v>
      </c>
    </row>
    <row r="28" customFormat="false" ht="15.9" hidden="false" customHeight="true" outlineLevel="0" collapsed="false">
      <c r="A28" s="7"/>
      <c r="B28" s="8" t="s">
        <v>29</v>
      </c>
      <c r="C28" s="9" t="n">
        <v>4810268041402</v>
      </c>
      <c r="D28" s="10" t="s">
        <v>39</v>
      </c>
    </row>
    <row r="29" customFormat="false" ht="15.9" hidden="false" customHeight="true" outlineLevel="0" collapsed="false">
      <c r="A29" s="7" t="n">
        <v>733284</v>
      </c>
      <c r="B29" s="8" t="s">
        <v>29</v>
      </c>
      <c r="C29" s="9" t="n">
        <v>4810268041358</v>
      </c>
      <c r="D29" s="10" t="s">
        <v>40</v>
      </c>
    </row>
    <row r="30" customFormat="false" ht="15.9" hidden="false" customHeight="true" outlineLevel="0" collapsed="false">
      <c r="A30" s="7" t="n">
        <v>733292</v>
      </c>
      <c r="B30" s="8" t="s">
        <v>29</v>
      </c>
      <c r="C30" s="9" t="n">
        <v>4810268041389</v>
      </c>
      <c r="D30" s="10" t="s">
        <v>41</v>
      </c>
    </row>
    <row r="31" customFormat="false" ht="15.9" hidden="false" customHeight="true" outlineLevel="0" collapsed="false">
      <c r="A31" s="7" t="n">
        <v>570537</v>
      </c>
      <c r="B31" s="8" t="s">
        <v>29</v>
      </c>
      <c r="C31" s="9" t="n">
        <v>4810268041396</v>
      </c>
      <c r="D31" s="10" t="s">
        <v>42</v>
      </c>
    </row>
    <row r="32" customFormat="false" ht="15.9" hidden="false" customHeight="true" outlineLevel="0" collapsed="false">
      <c r="A32" s="7" t="n">
        <v>733280</v>
      </c>
      <c r="B32" s="8" t="s">
        <v>29</v>
      </c>
      <c r="C32" s="9" t="n">
        <v>4810099026166</v>
      </c>
      <c r="D32" s="10" t="s">
        <v>43</v>
      </c>
    </row>
    <row r="33" customFormat="false" ht="15.9" hidden="false" customHeight="true" outlineLevel="0" collapsed="false">
      <c r="A33" s="7"/>
      <c r="B33" s="8" t="s">
        <v>44</v>
      </c>
      <c r="C33" s="9" t="n">
        <v>4810168049911</v>
      </c>
      <c r="D33" s="10" t="s">
        <v>45</v>
      </c>
    </row>
    <row r="34" customFormat="false" ht="15.9" hidden="false" customHeight="true" outlineLevel="0" collapsed="false">
      <c r="A34" s="7"/>
      <c r="B34" s="8" t="s">
        <v>46</v>
      </c>
      <c r="C34" s="9" t="n">
        <v>4810168049935</v>
      </c>
      <c r="D34" s="10" t="s">
        <v>47</v>
      </c>
    </row>
    <row r="35" customFormat="false" ht="15.9" hidden="false" customHeight="true" outlineLevel="0" collapsed="false">
      <c r="A35" s="7" t="n">
        <v>733251</v>
      </c>
      <c r="B35" s="8" t="s">
        <v>11</v>
      </c>
      <c r="C35" s="9" t="n">
        <v>4810039018718</v>
      </c>
      <c r="D35" s="10" t="s">
        <v>48</v>
      </c>
    </row>
    <row r="36" customFormat="false" ht="15.9" hidden="false" customHeight="true" outlineLevel="0" collapsed="false">
      <c r="A36" s="7" t="n">
        <v>733251</v>
      </c>
      <c r="B36" s="8" t="s">
        <v>8</v>
      </c>
      <c r="C36" s="9" t="n">
        <v>8410300207665</v>
      </c>
      <c r="D36" s="10" t="s">
        <v>49</v>
      </c>
    </row>
    <row r="37" customFormat="false" ht="15.9" hidden="false" customHeight="true" outlineLevel="0" collapsed="false">
      <c r="A37" s="7"/>
      <c r="B37" s="8" t="s">
        <v>50</v>
      </c>
      <c r="C37" s="9" t="n">
        <v>4610214380148</v>
      </c>
      <c r="D37" s="10" t="s">
        <v>51</v>
      </c>
    </row>
    <row r="38" customFormat="false" ht="15.9" hidden="false" customHeight="true" outlineLevel="0" collapsed="false">
      <c r="A38" s="7" t="n">
        <v>733162</v>
      </c>
      <c r="B38" s="8" t="s">
        <v>50</v>
      </c>
      <c r="C38" s="9" t="n">
        <v>7322540313369</v>
      </c>
      <c r="D38" s="10" t="s">
        <v>52</v>
      </c>
    </row>
    <row r="39" customFormat="false" ht="15.9" hidden="false" customHeight="true" outlineLevel="0" collapsed="false">
      <c r="A39" s="7" t="n">
        <v>661707</v>
      </c>
      <c r="B39" s="8" t="s">
        <v>50</v>
      </c>
      <c r="C39" s="9" t="n">
        <v>4607023329697</v>
      </c>
      <c r="D39" s="10" t="s">
        <v>53</v>
      </c>
    </row>
    <row r="40" customFormat="false" ht="15.9" hidden="false" customHeight="true" outlineLevel="0" collapsed="false">
      <c r="A40" s="7" t="n">
        <v>661707</v>
      </c>
      <c r="B40" s="8" t="s">
        <v>50</v>
      </c>
      <c r="C40" s="9" t="n">
        <v>4640043100471</v>
      </c>
      <c r="D40" s="10" t="s">
        <v>54</v>
      </c>
    </row>
    <row r="41" customFormat="false" ht="15.9" hidden="false" customHeight="true" outlineLevel="0" collapsed="false">
      <c r="A41" s="7" t="n">
        <v>700959</v>
      </c>
      <c r="B41" s="8" t="s">
        <v>55</v>
      </c>
      <c r="C41" s="9" t="n">
        <v>4810168036836</v>
      </c>
      <c r="D41" s="10" t="s">
        <v>56</v>
      </c>
    </row>
    <row r="42" customFormat="false" ht="15.9" hidden="false" customHeight="true" outlineLevel="0" collapsed="false">
      <c r="A42" s="7" t="n">
        <v>733063</v>
      </c>
      <c r="B42" s="8" t="s">
        <v>4</v>
      </c>
      <c r="C42" s="9" t="n">
        <v>4604075039123</v>
      </c>
      <c r="D42" s="10" t="s">
        <v>57</v>
      </c>
    </row>
    <row r="43" customFormat="false" ht="15.9" hidden="false" customHeight="true" outlineLevel="0" collapsed="false">
      <c r="A43" s="7" t="n">
        <v>733066</v>
      </c>
      <c r="B43" s="8" t="s">
        <v>16</v>
      </c>
      <c r="C43" s="9" t="n">
        <v>4810128007074</v>
      </c>
      <c r="D43" s="10" t="s">
        <v>58</v>
      </c>
    </row>
    <row r="44" customFormat="false" ht="15.9" hidden="false" customHeight="true" outlineLevel="0" collapsed="false">
      <c r="A44" s="7" t="n">
        <v>733266</v>
      </c>
      <c r="B44" s="8" t="s">
        <v>16</v>
      </c>
      <c r="C44" s="9" t="n">
        <v>4650062772870</v>
      </c>
      <c r="D44" s="10" t="s">
        <v>59</v>
      </c>
    </row>
    <row r="45" customFormat="false" ht="15.9" hidden="false" customHeight="true" outlineLevel="0" collapsed="false">
      <c r="A45" s="7"/>
      <c r="B45" s="8" t="s">
        <v>16</v>
      </c>
      <c r="C45" s="9" t="n">
        <v>4650062772887</v>
      </c>
      <c r="D45" s="10" t="s">
        <v>60</v>
      </c>
    </row>
    <row r="46" customFormat="false" ht="15.9" hidden="false" customHeight="true" outlineLevel="0" collapsed="false">
      <c r="A46" s="7" t="n">
        <v>448417</v>
      </c>
      <c r="B46" s="8" t="s">
        <v>16</v>
      </c>
      <c r="C46" s="9" t="n">
        <v>4810067080756</v>
      </c>
      <c r="D46" s="10" t="s">
        <v>61</v>
      </c>
    </row>
    <row r="47" customFormat="false" ht="15.9" hidden="false" customHeight="true" outlineLevel="0" collapsed="false">
      <c r="A47" s="7" t="n">
        <v>733193</v>
      </c>
      <c r="B47" s="8" t="s">
        <v>16</v>
      </c>
      <c r="C47" s="9" t="n">
        <v>4810067081890</v>
      </c>
      <c r="D47" s="10" t="s">
        <v>62</v>
      </c>
    </row>
    <row r="48" customFormat="false" ht="15.9" hidden="false" customHeight="true" outlineLevel="0" collapsed="false">
      <c r="A48" s="7" t="n">
        <v>733261</v>
      </c>
      <c r="B48" s="8" t="s">
        <v>16</v>
      </c>
      <c r="C48" s="9" t="n">
        <v>4607015234497</v>
      </c>
      <c r="D48" s="10" t="s">
        <v>63</v>
      </c>
    </row>
    <row r="49" customFormat="false" ht="15.9" hidden="false" customHeight="true" outlineLevel="0" collapsed="false">
      <c r="A49" s="7" t="n">
        <v>733223</v>
      </c>
      <c r="B49" s="8" t="s">
        <v>11</v>
      </c>
      <c r="C49" s="9" t="n">
        <v>5010677922005</v>
      </c>
      <c r="D49" s="10" t="s">
        <v>64</v>
      </c>
    </row>
    <row r="50" customFormat="false" ht="15.9" hidden="false" customHeight="true" outlineLevel="0" collapsed="false">
      <c r="A50" s="7" t="n">
        <v>733260</v>
      </c>
      <c r="B50" s="8" t="s">
        <v>65</v>
      </c>
      <c r="C50" s="9" t="n">
        <v>4813186010536</v>
      </c>
      <c r="D50" s="10" t="s">
        <v>66</v>
      </c>
    </row>
    <row r="51" customFormat="false" ht="15.75" hidden="false" customHeight="true" outlineLevel="0" collapsed="false">
      <c r="A51" s="7" t="n">
        <v>733244</v>
      </c>
      <c r="B51" s="8" t="s">
        <v>67</v>
      </c>
      <c r="C51" s="9" t="n">
        <v>4015600949747.4</v>
      </c>
      <c r="D51" s="10" t="s">
        <v>68</v>
      </c>
    </row>
    <row r="52" customFormat="false" ht="15.75" hidden="false" customHeight="true" outlineLevel="0" collapsed="false">
      <c r="A52" s="7" t="n">
        <v>657830</v>
      </c>
      <c r="B52" s="8" t="s">
        <v>8</v>
      </c>
      <c r="C52" s="9" t="n">
        <v>4811180000010</v>
      </c>
      <c r="D52" s="10" t="s">
        <v>69</v>
      </c>
    </row>
    <row r="53" s="2" customFormat="true" ht="13.8" hidden="false" customHeight="false" outlineLevel="0" collapsed="false">
      <c r="A53" s="1"/>
      <c r="B53" s="1"/>
      <c r="D53" s="1"/>
      <c r="E53" s="1"/>
      <c r="AME53" s="0"/>
      <c r="AMF53" s="0"/>
      <c r="AMG53" s="0"/>
      <c r="AMH53" s="0"/>
      <c r="AMI53" s="0"/>
      <c r="AMJ53" s="0"/>
    </row>
    <row r="54" s="2" customFormat="true" ht="13.8" hidden="false" customHeight="false" outlineLevel="0" collapsed="false">
      <c r="A54" s="1"/>
      <c r="B54" s="1"/>
      <c r="D54" s="1"/>
      <c r="E54" s="1"/>
      <c r="AME54" s="0"/>
      <c r="AMF54" s="0"/>
      <c r="AMG54" s="0"/>
      <c r="AMH54" s="0"/>
      <c r="AMI54" s="0"/>
      <c r="AMJ54" s="0"/>
    </row>
    <row r="55" s="2" customFormat="true" ht="13.8" hidden="false" customHeight="false" outlineLevel="0" collapsed="false">
      <c r="A55" s="1"/>
      <c r="B55" s="1"/>
      <c r="D55" s="1"/>
      <c r="E55" s="1"/>
      <c r="AME55" s="0"/>
      <c r="AMF55" s="0"/>
      <c r="AMG55" s="0"/>
      <c r="AMH55" s="0"/>
      <c r="AMI55" s="0"/>
      <c r="AMJ55" s="0"/>
    </row>
    <row r="56" s="2" customFormat="true" ht="13.8" hidden="false" customHeight="false" outlineLevel="0" collapsed="false">
      <c r="A56" s="1"/>
      <c r="B56" s="1"/>
      <c r="D56" s="1"/>
      <c r="E56" s="1"/>
      <c r="AME56" s="0"/>
      <c r="AMF56" s="0"/>
      <c r="AMG56" s="0"/>
      <c r="AMH56" s="0"/>
      <c r="AMI56" s="0"/>
      <c r="AMJ56" s="0"/>
    </row>
    <row r="57" s="2" customFormat="true" ht="13.8" hidden="false" customHeight="false" outlineLevel="0" collapsed="false">
      <c r="A57" s="1"/>
      <c r="B57" s="1"/>
      <c r="D57" s="1"/>
      <c r="E57" s="1"/>
      <c r="AME57" s="0"/>
      <c r="AMF57" s="0"/>
      <c r="AMG57" s="0"/>
      <c r="AMH57" s="0"/>
      <c r="AMI57" s="0"/>
      <c r="AMJ57" s="0"/>
    </row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D53:D1048576 D1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conditionalFormatting sqref="D53:D1048576 D1">
    <cfRule type="duplicateValues" priority="4" aboveAverage="0" equalAverage="0" bottom="0" percent="0" rank="0" text="" dxfId="2"/>
  </conditionalFormatting>
  <conditionalFormatting sqref="C1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W1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U7" activeCellId="0" sqref="U7"/>
    </sheetView>
  </sheetViews>
  <sheetFormatPr defaultColWidth="8.54296875" defaultRowHeight="14.4" zeroHeight="false" outlineLevelRow="0" outlineLevelCol="0"/>
  <cols>
    <col collapsed="false" customWidth="true" hidden="false" outlineLevel="0" max="2" min="2" style="0" width="32.44"/>
    <col collapsed="false" customWidth="true" hidden="false" outlineLevel="0" max="11" min="11" style="0" width="13.89"/>
  </cols>
  <sheetData>
    <row r="3" customFormat="false" ht="14.4" hidden="false" customHeight="false" outlineLevel="0" collapsed="false">
      <c r="C3" s="0" t="s">
        <v>70</v>
      </c>
      <c r="D3" s="0" t="s">
        <v>71</v>
      </c>
      <c r="E3" s="0" t="s">
        <v>72</v>
      </c>
      <c r="F3" s="0" t="s">
        <v>70</v>
      </c>
      <c r="G3" s="0" t="s">
        <v>73</v>
      </c>
      <c r="H3" s="0" t="s">
        <v>74</v>
      </c>
      <c r="I3" s="11" t="s">
        <v>70</v>
      </c>
      <c r="J3" s="11" t="s">
        <v>75</v>
      </c>
      <c r="K3" s="11" t="s">
        <v>76</v>
      </c>
      <c r="M3" s="12" t="s">
        <v>70</v>
      </c>
      <c r="N3" s="12" t="s">
        <v>77</v>
      </c>
      <c r="O3" s="12" t="s">
        <v>78</v>
      </c>
      <c r="Q3" s="12" t="s">
        <v>70</v>
      </c>
      <c r="R3" s="12" t="s">
        <v>79</v>
      </c>
      <c r="S3" s="12" t="s">
        <v>80</v>
      </c>
      <c r="U3" s="0" t="s">
        <v>70</v>
      </c>
      <c r="V3" s="0" t="s">
        <v>81</v>
      </c>
      <c r="W3" s="0" t="s">
        <v>82</v>
      </c>
    </row>
    <row r="4" customFormat="false" ht="14.4" hidden="false" customHeight="false" outlineLevel="0" collapsed="false">
      <c r="B4" s="0" t="s">
        <v>83</v>
      </c>
      <c r="C4" s="0" t="n">
        <v>808.72</v>
      </c>
      <c r="D4" s="0" t="n">
        <v>728.59</v>
      </c>
      <c r="E4" s="13" t="n">
        <f aca="false">(C4/D4)-1</f>
        <v>0.109979549540894</v>
      </c>
      <c r="F4" s="0" t="n">
        <v>838.31</v>
      </c>
      <c r="G4" s="0" t="n">
        <v>831.84</v>
      </c>
      <c r="H4" s="13" t="n">
        <f aca="false">(F4/G4)-1</f>
        <v>0.00777793806501248</v>
      </c>
      <c r="I4" s="11" t="n">
        <v>578.46</v>
      </c>
      <c r="J4" s="11" t="n">
        <v>581.3</v>
      </c>
      <c r="K4" s="14" t="n">
        <f aca="false">(I4/J4)-1</f>
        <v>-0.00488560123860304</v>
      </c>
      <c r="M4" s="12" t="n">
        <v>909.24</v>
      </c>
      <c r="N4" s="12" t="n">
        <v>944.47</v>
      </c>
      <c r="O4" s="15" t="n">
        <f aca="false">(M4/N4)-1</f>
        <v>-0.0373013436107024</v>
      </c>
      <c r="Q4" s="0" t="n">
        <v>869.6</v>
      </c>
      <c r="R4" s="0" t="n">
        <v>882.99</v>
      </c>
      <c r="S4" s="13" t="n">
        <f aca="false">(Q4/R4)-1</f>
        <v>-0.0151643846476177</v>
      </c>
      <c r="U4" s="0" t="n">
        <v>1055.69</v>
      </c>
      <c r="V4" s="0" t="n">
        <v>1047.67</v>
      </c>
      <c r="W4" s="13" t="n">
        <f aca="false">(U4/V4)-1</f>
        <v>0.00765508223009159</v>
      </c>
    </row>
    <row r="5" customFormat="false" ht="14.4" hidden="false" customHeight="false" outlineLevel="0" collapsed="false">
      <c r="B5" s="0" t="s">
        <v>84</v>
      </c>
      <c r="C5" s="0" t="n">
        <v>206.08</v>
      </c>
      <c r="D5" s="0" t="n">
        <v>200.25</v>
      </c>
      <c r="E5" s="13" t="n">
        <f aca="false">(C5/D5)-1</f>
        <v>0.0291136079900125</v>
      </c>
      <c r="F5" s="0" t="n">
        <v>183.48</v>
      </c>
      <c r="G5" s="0" t="n">
        <v>182.89</v>
      </c>
      <c r="H5" s="13" t="n">
        <f aca="false">(F5/G5)-1</f>
        <v>0.00322598283121001</v>
      </c>
      <c r="I5" s="11" t="n">
        <v>181.71</v>
      </c>
      <c r="J5" s="11" t="n">
        <v>184.73</v>
      </c>
      <c r="K5" s="14" t="n">
        <f aca="false">(I5/J5)-1</f>
        <v>-0.0163481838358684</v>
      </c>
      <c r="M5" s="12" t="n">
        <v>169.68</v>
      </c>
      <c r="N5" s="12" t="n">
        <v>164.17</v>
      </c>
      <c r="O5" s="15" t="n">
        <f aca="false">(M5/N5)-1</f>
        <v>0.0335627702990804</v>
      </c>
      <c r="Q5" s="0" t="n">
        <v>180.56</v>
      </c>
      <c r="R5" s="0" t="n">
        <v>173.49</v>
      </c>
      <c r="S5" s="13" t="n">
        <f aca="false">(Q5/R5)-1</f>
        <v>0.0407516283359271</v>
      </c>
      <c r="U5" s="0" t="n">
        <v>223.61</v>
      </c>
      <c r="V5" s="0" t="n">
        <v>218.67</v>
      </c>
      <c r="W5" s="13" t="n">
        <f aca="false">(U5/V5)-1</f>
        <v>0.0225911190378196</v>
      </c>
    </row>
    <row r="6" customFormat="false" ht="14.4" hidden="false" customHeight="false" outlineLevel="0" collapsed="false">
      <c r="B6" s="0" t="s">
        <v>46</v>
      </c>
      <c r="C6" s="0" t="n">
        <v>86.63</v>
      </c>
      <c r="D6" s="0" t="n">
        <v>80.71</v>
      </c>
      <c r="E6" s="13" t="n">
        <f aca="false">(C6/D6)-1</f>
        <v>0.073349027381985</v>
      </c>
      <c r="F6" s="0" t="n">
        <v>81.34</v>
      </c>
      <c r="G6" s="0" t="n">
        <v>81.78</v>
      </c>
      <c r="H6" s="13" t="n">
        <f aca="false">(F6/G6)-1</f>
        <v>-0.00538028857911466</v>
      </c>
      <c r="I6" s="11" t="n">
        <v>50.42</v>
      </c>
      <c r="J6" s="11" t="n">
        <v>50.41</v>
      </c>
      <c r="K6" s="14" t="n">
        <f aca="false">(I6/J6)-1</f>
        <v>0.000198373338623492</v>
      </c>
      <c r="M6" s="12" t="n">
        <v>48.42</v>
      </c>
      <c r="N6" s="12" t="n">
        <v>41.26</v>
      </c>
      <c r="O6" s="15" t="n">
        <f aca="false">(M6/N6)-1</f>
        <v>0.173533688802715</v>
      </c>
      <c r="Q6" s="0" t="n">
        <v>88.78</v>
      </c>
      <c r="R6" s="0" t="n">
        <v>85.53</v>
      </c>
      <c r="S6" s="13" t="n">
        <f aca="false">(Q6/R6)-1</f>
        <v>0.0379983631474337</v>
      </c>
      <c r="U6" s="0" t="n">
        <v>100.48</v>
      </c>
      <c r="V6" s="0" t="n">
        <v>96.33</v>
      </c>
      <c r="W6" s="13" t="n">
        <f aca="false">(U6/V6)-1</f>
        <v>0.0430810754697395</v>
      </c>
    </row>
    <row r="7" customFormat="false" ht="14.4" hidden="false" customHeight="false" outlineLevel="0" collapsed="false">
      <c r="B7" s="0" t="s">
        <v>85</v>
      </c>
      <c r="C7" s="0" t="n">
        <v>397.04</v>
      </c>
      <c r="D7" s="0" t="n">
        <v>396.26</v>
      </c>
      <c r="E7" s="13" t="n">
        <f aca="false">(C7/D7)-1</f>
        <v>0.00196840458284964</v>
      </c>
      <c r="F7" s="0" t="n">
        <v>201.68</v>
      </c>
      <c r="G7" s="0" t="n">
        <v>206.18</v>
      </c>
      <c r="H7" s="13" t="n">
        <f aca="false">(F7/G7)-1</f>
        <v>-0.0218255892909108</v>
      </c>
      <c r="I7" s="11" t="n">
        <v>139.68</v>
      </c>
      <c r="J7" s="11" t="n">
        <v>149.44</v>
      </c>
      <c r="K7" s="14" t="n">
        <f aca="false">(I7/J7)-1</f>
        <v>-0.0653104925053533</v>
      </c>
      <c r="M7" s="12" t="n">
        <v>246.47</v>
      </c>
      <c r="N7" s="12" t="n">
        <v>242.68</v>
      </c>
      <c r="O7" s="15" t="n">
        <f aca="false">(M7/N7)-1</f>
        <v>0.0156172737761662</v>
      </c>
      <c r="Q7" s="0" t="n">
        <v>227.67</v>
      </c>
      <c r="R7" s="0" t="n">
        <v>217.23</v>
      </c>
      <c r="S7" s="13" t="n">
        <f aca="false">(Q7/R7)-1</f>
        <v>0.0480596602679189</v>
      </c>
      <c r="U7" s="0" t="n">
        <v>351.97</v>
      </c>
      <c r="V7" s="0" t="n">
        <v>352.32</v>
      </c>
      <c r="W7" s="13" t="n">
        <f aca="false">(U7/V7)-1</f>
        <v>-0.000993415077202409</v>
      </c>
    </row>
    <row r="8" customFormat="false" ht="14.4" hidden="false" customHeight="false" outlineLevel="0" collapsed="false">
      <c r="B8" s="0" t="s">
        <v>86</v>
      </c>
      <c r="C8" s="0" t="n">
        <v>47.03</v>
      </c>
      <c r="D8" s="0" t="n">
        <v>43.41</v>
      </c>
      <c r="E8" s="13" t="n">
        <f aca="false">(C8/D8)-1</f>
        <v>0.0833909237502881</v>
      </c>
      <c r="F8" s="0" t="n">
        <v>26.59</v>
      </c>
      <c r="G8" s="0" t="n">
        <v>26.73</v>
      </c>
      <c r="H8" s="13" t="n">
        <f aca="false">(F8/G8)-1</f>
        <v>-0.00523756079311633</v>
      </c>
      <c r="I8" s="11" t="n">
        <v>22.68</v>
      </c>
      <c r="J8" s="11" t="n">
        <v>23.5</v>
      </c>
      <c r="K8" s="14" t="n">
        <f aca="false">(I8/J8)-1</f>
        <v>-0.0348936170212766</v>
      </c>
      <c r="M8" s="12" t="n">
        <v>28.13</v>
      </c>
      <c r="N8" s="12" t="n">
        <v>27.85</v>
      </c>
      <c r="O8" s="15" t="n">
        <f aca="false">(M8/N8)-1</f>
        <v>0.0100538599640934</v>
      </c>
      <c r="Q8" s="0" t="n">
        <v>40.9</v>
      </c>
      <c r="R8" s="0" t="n">
        <v>40.26</v>
      </c>
      <c r="S8" s="13" t="n">
        <f aca="false">(Q8/R8)-1</f>
        <v>0.0158966716343765</v>
      </c>
      <c r="U8" s="0" t="n">
        <v>43.49</v>
      </c>
      <c r="V8" s="0" t="n">
        <v>42.31</v>
      </c>
      <c r="W8" s="13" t="n">
        <f aca="false">(U8/V8)-1</f>
        <v>0.0278893878515718</v>
      </c>
    </row>
    <row r="9" customFormat="false" ht="14.4" hidden="false" customHeight="false" outlineLevel="0" collapsed="false">
      <c r="B9" s="0" t="s">
        <v>87</v>
      </c>
      <c r="C9" s="0" t="n">
        <v>263.62</v>
      </c>
      <c r="D9" s="0" t="n">
        <v>260.57</v>
      </c>
      <c r="E9" s="13" t="n">
        <f aca="false">(C9/D9)-1</f>
        <v>0.0117051080323907</v>
      </c>
      <c r="F9" s="0" t="n">
        <v>250.74</v>
      </c>
      <c r="G9" s="0" t="n">
        <v>242.5</v>
      </c>
      <c r="H9" s="13" t="n">
        <f aca="false">(F9/G9)-1</f>
        <v>0.0339793814432989</v>
      </c>
      <c r="I9" s="11" t="n">
        <v>188.24</v>
      </c>
      <c r="J9" s="11" t="n">
        <v>186.99</v>
      </c>
      <c r="K9" s="14" t="n">
        <f aca="false">(I9/J9)-1</f>
        <v>0.00668484945719028</v>
      </c>
      <c r="M9" s="12" t="n">
        <v>211.28</v>
      </c>
      <c r="N9" s="12" t="n">
        <v>203.8</v>
      </c>
      <c r="O9" s="15" t="n">
        <f aca="false">(M9/N9)-1</f>
        <v>0.0367026496565259</v>
      </c>
      <c r="Q9" s="0" t="n">
        <v>237.11</v>
      </c>
      <c r="R9" s="0" t="n">
        <v>228.52</v>
      </c>
      <c r="S9" s="13" t="n">
        <f aca="false">(Q9/R9)-1</f>
        <v>0.0375897076842289</v>
      </c>
      <c r="U9" s="0" t="n">
        <v>297.25</v>
      </c>
      <c r="V9" s="0" t="n">
        <v>290.74</v>
      </c>
      <c r="W9" s="13" t="n">
        <f aca="false">(U9/V9)-1</f>
        <v>0.0223911398500378</v>
      </c>
    </row>
    <row r="10" customFormat="false" ht="14.4" hidden="false" customHeight="false" outlineLevel="0" collapsed="false">
      <c r="B10" s="0" t="s">
        <v>88</v>
      </c>
      <c r="E10" s="13"/>
      <c r="H10" s="13"/>
      <c r="I10" s="11" t="n">
        <v>15.23</v>
      </c>
      <c r="J10" s="11" t="n">
        <v>14.78</v>
      </c>
      <c r="K10" s="14" t="n">
        <f aca="false">(I10/J10)-1</f>
        <v>0.0304465493910691</v>
      </c>
      <c r="M10" s="12" t="n">
        <v>20.47</v>
      </c>
      <c r="N10" s="12" t="n">
        <v>19.01</v>
      </c>
      <c r="O10" s="15" t="n">
        <f aca="false">(M10/N10)-1</f>
        <v>0.0768016833245659</v>
      </c>
      <c r="Q10" s="0" t="n">
        <v>22.09</v>
      </c>
      <c r="R10" s="0" t="n">
        <v>21.02</v>
      </c>
      <c r="S10" s="13" t="n">
        <f aca="false">(Q10/R10)-1</f>
        <v>0.0509039010466223</v>
      </c>
      <c r="U10" s="0" t="n">
        <v>27.92</v>
      </c>
      <c r="V10" s="0" t="n">
        <v>25.94</v>
      </c>
      <c r="W10" s="13" t="n">
        <f aca="false">(U10/V10)-1</f>
        <v>0.0763299922898997</v>
      </c>
    </row>
    <row r="11" customFormat="false" ht="14.4" hidden="false" customHeight="false" outlineLevel="0" collapsed="false">
      <c r="B11" s="0" t="s">
        <v>89</v>
      </c>
      <c r="C11" s="0" t="n">
        <v>108.5</v>
      </c>
      <c r="D11" s="0" t="n">
        <v>101.73</v>
      </c>
      <c r="E11" s="13" t="n">
        <f aca="false">(C11/D11)-1</f>
        <v>0.0665487073626265</v>
      </c>
      <c r="F11" s="0" t="n">
        <v>101.82</v>
      </c>
      <c r="G11" s="0" t="n">
        <v>98.52</v>
      </c>
      <c r="H11" s="13" t="n">
        <f aca="false">(F11/G11)-1</f>
        <v>0.0334957369062119</v>
      </c>
      <c r="I11" s="11" t="n">
        <v>98</v>
      </c>
      <c r="J11" s="11" t="n">
        <v>97.09</v>
      </c>
      <c r="K11" s="14" t="n">
        <f aca="false">(I11/J11)-1</f>
        <v>0.00937274693583268</v>
      </c>
      <c r="M11" s="12" t="n">
        <v>96.69</v>
      </c>
      <c r="N11" s="12" t="n">
        <v>90.2</v>
      </c>
      <c r="O11" s="15" t="n">
        <f aca="false">(M11/N11)-1</f>
        <v>0.071951219512195</v>
      </c>
      <c r="Q11" s="0" t="n">
        <v>100.11</v>
      </c>
      <c r="R11" s="0" t="n">
        <v>97.43</v>
      </c>
      <c r="S11" s="13" t="n">
        <f aca="false">(Q11/R11)-1</f>
        <v>0.0275069280509084</v>
      </c>
      <c r="U11" s="0" t="n">
        <v>110.8</v>
      </c>
      <c r="V11" s="0" t="n">
        <v>106.34</v>
      </c>
      <c r="W11" s="13" t="n">
        <f aca="false">(U11/V11)-1</f>
        <v>0.0419409441414331</v>
      </c>
    </row>
    <row r="12" customFormat="false" ht="14.4" hidden="false" customHeight="false" outlineLevel="0" collapsed="false">
      <c r="B12" s="0" t="s">
        <v>90</v>
      </c>
      <c r="E12" s="13"/>
      <c r="H12" s="13"/>
      <c r="I12" s="11" t="n">
        <v>41.67</v>
      </c>
      <c r="J12" s="11" t="n">
        <v>40.55</v>
      </c>
      <c r="K12" s="14" t="n">
        <f aca="false">(I12/J12)-1</f>
        <v>0.0276202219482122</v>
      </c>
      <c r="M12" s="12" t="n">
        <v>50.16</v>
      </c>
      <c r="N12" s="12" t="n">
        <v>49.5</v>
      </c>
      <c r="O12" s="15" t="n">
        <f aca="false">(M12/N12)-1</f>
        <v>0.0133333333333332</v>
      </c>
      <c r="Q12" s="0" t="n">
        <v>75.05</v>
      </c>
      <c r="R12" s="0" t="n">
        <v>75.51</v>
      </c>
      <c r="S12" s="13" t="n">
        <f aca="false">(Q12/R12)-1</f>
        <v>-0.00609190835650919</v>
      </c>
      <c r="U12" s="0" t="n">
        <v>63.78</v>
      </c>
      <c r="V12" s="0" t="n">
        <v>60.93</v>
      </c>
      <c r="W12" s="13" t="n">
        <f aca="false">(U12/V12)-1</f>
        <v>0.0467749876907928</v>
      </c>
    </row>
    <row r="13" customFormat="false" ht="14.4" hidden="false" customHeight="false" outlineLevel="0" collapsed="false">
      <c r="B13" s="0" t="s">
        <v>91</v>
      </c>
      <c r="C13" s="0" t="n">
        <v>99.35</v>
      </c>
      <c r="D13" s="0" t="n">
        <v>93.57</v>
      </c>
      <c r="E13" s="13" t="n">
        <f aca="false">(C13/D13)-1</f>
        <v>0.0617719354493962</v>
      </c>
      <c r="F13" s="0" t="n">
        <v>105.04</v>
      </c>
      <c r="G13" s="0" t="n">
        <v>105.15</v>
      </c>
      <c r="H13" s="13" t="n">
        <f aca="false">(F13/G13)-1</f>
        <v>-0.00104612458392772</v>
      </c>
      <c r="I13" s="11" t="n">
        <v>92.02</v>
      </c>
      <c r="J13" s="11" t="n">
        <v>94.39</v>
      </c>
      <c r="K13" s="14" t="n">
        <f aca="false">(I13/J13)-1</f>
        <v>-0.0251085920118657</v>
      </c>
      <c r="M13" s="12" t="n">
        <v>91.12</v>
      </c>
      <c r="N13" s="12" t="n">
        <v>85.57</v>
      </c>
      <c r="O13" s="15" t="n">
        <f aca="false">(M13/N13)-1</f>
        <v>0.0648591796190254</v>
      </c>
      <c r="Q13" s="0" t="n">
        <v>96.13</v>
      </c>
      <c r="R13" s="0" t="n">
        <v>95.09</v>
      </c>
      <c r="S13" s="13" t="n">
        <f aca="false">(Q13/R13)-1</f>
        <v>0.0109370070459565</v>
      </c>
      <c r="U13" s="0" t="n">
        <v>112.52</v>
      </c>
      <c r="V13" s="0" t="n">
        <v>109.39</v>
      </c>
      <c r="W13" s="13" t="n">
        <f aca="false">(U13/V13)-1</f>
        <v>0.0286132187585701</v>
      </c>
    </row>
    <row r="14" customFormat="false" ht="14.4" hidden="false" customHeight="false" outlineLevel="0" collapsed="false">
      <c r="B14" s="0" t="s">
        <v>92</v>
      </c>
      <c r="C14" s="0" t="n">
        <v>20.56</v>
      </c>
      <c r="D14" s="0" t="n">
        <v>20.08</v>
      </c>
      <c r="E14" s="13" t="n">
        <f aca="false">(C14/D14)-1</f>
        <v>0.0239043824701195</v>
      </c>
      <c r="F14" s="0" t="n">
        <v>28.22</v>
      </c>
      <c r="G14" s="0" t="n">
        <v>27.56</v>
      </c>
      <c r="H14" s="13" t="n">
        <f aca="false">(F14/G14)-1</f>
        <v>0.0239477503628447</v>
      </c>
      <c r="I14" s="11" t="n">
        <v>10.08</v>
      </c>
      <c r="J14" s="11" t="n">
        <v>9.58</v>
      </c>
      <c r="K14" s="14" t="n">
        <f aca="false">(I14/J14)-1</f>
        <v>0.0521920668058455</v>
      </c>
      <c r="M14" s="12" t="n">
        <v>20.53</v>
      </c>
      <c r="N14" s="12" t="n">
        <v>18.59</v>
      </c>
      <c r="O14" s="15" t="n">
        <f aca="false">(M14/N14)-1</f>
        <v>0.104357181280258</v>
      </c>
      <c r="U14" s="0" t="n">
        <v>24.28</v>
      </c>
      <c r="V14" s="0" t="n">
        <v>23.16</v>
      </c>
      <c r="W14" s="13" t="n">
        <f aca="false">(U14/V14)-1</f>
        <v>0.0483592400690847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O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M77" activeCellId="0" sqref="M77"/>
    </sheetView>
  </sheetViews>
  <sheetFormatPr defaultColWidth="8.54296875" defaultRowHeight="14.4" zeroHeight="false" outlineLevelRow="0" outlineLevelCol="0"/>
  <cols>
    <col collapsed="false" customWidth="true" hidden="false" outlineLevel="0" max="2" min="2" style="0" width="34.44"/>
    <col collapsed="false" customWidth="true" hidden="false" outlineLevel="0" max="3" min="3" style="0" width="8.33"/>
    <col collapsed="false" customWidth="true" hidden="false" outlineLevel="0" max="5" min="4" style="0" width="11.89"/>
    <col collapsed="false" customWidth="true" hidden="false" outlineLevel="0" max="6" min="6" style="0" width="8.88"/>
    <col collapsed="false" customWidth="true" hidden="false" outlineLevel="0" max="7" min="7" style="0" width="9.11"/>
    <col collapsed="false" customWidth="true" hidden="false" outlineLevel="0" max="8" min="8" style="0" width="6.11"/>
  </cols>
  <sheetData>
    <row r="1" customFormat="false" ht="14.4" hidden="false" customHeight="false" outlineLevel="0" collapsed="false">
      <c r="C1" s="0" t="s">
        <v>70</v>
      </c>
      <c r="D1" s="0" t="s">
        <v>93</v>
      </c>
      <c r="F1" s="0" t="s">
        <v>70</v>
      </c>
    </row>
    <row r="2" customFormat="false" ht="14.4" hidden="false" customHeight="false" outlineLevel="0" collapsed="false">
      <c r="B2" s="16" t="s">
        <v>70</v>
      </c>
      <c r="C2" s="0" t="s">
        <v>94</v>
      </c>
      <c r="D2" s="0" t="s">
        <v>95</v>
      </c>
      <c r="E2" s="0" t="s">
        <v>96</v>
      </c>
      <c r="F2" s="0" t="s">
        <v>97</v>
      </c>
      <c r="G2" s="0" t="s">
        <v>98</v>
      </c>
      <c r="H2" s="0" t="s">
        <v>99</v>
      </c>
    </row>
    <row r="3" customFormat="false" ht="14.4" hidden="false" customHeight="false" outlineLevel="0" collapsed="false">
      <c r="B3" s="0" t="s">
        <v>100</v>
      </c>
      <c r="C3" s="17" t="n">
        <f aca="false">F3/H3</f>
        <v>0.240223463687151</v>
      </c>
      <c r="D3" s="17" t="n">
        <f aca="false">G3/H3</f>
        <v>0.156424581005587</v>
      </c>
      <c r="E3" s="17" t="n">
        <f aca="false">100%-SUM(C3:D3)</f>
        <v>0.603351955307263</v>
      </c>
      <c r="F3" s="0" t="n">
        <v>43</v>
      </c>
      <c r="G3" s="0" t="n">
        <v>28</v>
      </c>
      <c r="H3" s="0" t="n">
        <v>179</v>
      </c>
    </row>
    <row r="4" customFormat="false" ht="14.4" hidden="false" customHeight="false" outlineLevel="0" collapsed="false">
      <c r="B4" s="0" t="s">
        <v>101</v>
      </c>
      <c r="C4" s="17" t="n">
        <f aca="false">F4/H4</f>
        <v>0.227272727272727</v>
      </c>
      <c r="D4" s="17" t="n">
        <f aca="false">G4/H4</f>
        <v>0.193181818181818</v>
      </c>
      <c r="E4" s="17" t="n">
        <f aca="false">100%-SUM(C4:D4)</f>
        <v>0.579545454545455</v>
      </c>
      <c r="F4" s="0" t="n">
        <v>20</v>
      </c>
      <c r="G4" s="0" t="n">
        <v>17</v>
      </c>
      <c r="H4" s="0" t="n">
        <v>88</v>
      </c>
    </row>
    <row r="5" customFormat="false" ht="14.4" hidden="false" customHeight="false" outlineLevel="0" collapsed="false">
      <c r="B5" s="0" t="s">
        <v>102</v>
      </c>
      <c r="C5" s="17" t="n">
        <f aca="false">F5/H5</f>
        <v>0.28</v>
      </c>
      <c r="D5" s="17" t="n">
        <f aca="false">G5/H5</f>
        <v>0.12</v>
      </c>
      <c r="E5" s="17" t="n">
        <f aca="false">100%-SUM(C5:D5)</f>
        <v>0.6</v>
      </c>
      <c r="F5" s="0" t="n">
        <v>14</v>
      </c>
      <c r="G5" s="0" t="n">
        <v>6</v>
      </c>
      <c r="H5" s="0" t="n">
        <v>50</v>
      </c>
    </row>
    <row r="6" customFormat="false" ht="14.4" hidden="false" customHeight="false" outlineLevel="0" collapsed="false">
      <c r="B6" s="0" t="s">
        <v>103</v>
      </c>
      <c r="C6" s="17" t="n">
        <f aca="false">F6/H6</f>
        <v>0.0930232558139535</v>
      </c>
      <c r="D6" s="17" t="n">
        <f aca="false">G6/H6</f>
        <v>0.162790697674419</v>
      </c>
      <c r="E6" s="17" t="n">
        <f aca="false">100%-SUM(C6:D6)</f>
        <v>0.744186046511628</v>
      </c>
      <c r="F6" s="0" t="n">
        <v>4</v>
      </c>
      <c r="G6" s="0" t="n">
        <v>7</v>
      </c>
      <c r="H6" s="0" t="n">
        <v>43</v>
      </c>
    </row>
    <row r="7" customFormat="false" ht="14.4" hidden="false" customHeight="false" outlineLevel="0" collapsed="false">
      <c r="B7" s="0" t="s">
        <v>104</v>
      </c>
      <c r="C7" s="17" t="n">
        <f aca="false">F7/H7</f>
        <v>0.458333333333333</v>
      </c>
      <c r="D7" s="17" t="n">
        <f aca="false">G7/H7</f>
        <v>0.166666666666667</v>
      </c>
      <c r="E7" s="17" t="n">
        <f aca="false">100%-SUM(C7:D7)</f>
        <v>0.375</v>
      </c>
      <c r="F7" s="0" t="n">
        <v>11</v>
      </c>
      <c r="G7" s="0" t="n">
        <v>4</v>
      </c>
      <c r="H7" s="0" t="n">
        <v>24</v>
      </c>
    </row>
    <row r="8" customFormat="false" ht="14.4" hidden="false" customHeight="false" outlineLevel="0" collapsed="false">
      <c r="B8" s="0" t="s">
        <v>105</v>
      </c>
      <c r="C8" s="17" t="n">
        <f aca="false">F8/H8</f>
        <v>0.359550561797753</v>
      </c>
      <c r="D8" s="17" t="n">
        <f aca="false">G8/H8</f>
        <v>0.123595505617978</v>
      </c>
      <c r="E8" s="17" t="n">
        <f aca="false">100%-SUM(C8:D8)</f>
        <v>0.51685393258427</v>
      </c>
      <c r="F8" s="0" t="n">
        <v>64</v>
      </c>
      <c r="G8" s="0" t="n">
        <v>22</v>
      </c>
      <c r="H8" s="0" t="n">
        <v>178</v>
      </c>
    </row>
    <row r="9" customFormat="false" ht="14.4" hidden="false" customHeight="false" outlineLevel="0" collapsed="false">
      <c r="B9" s="0" t="s">
        <v>106</v>
      </c>
      <c r="C9" s="17" t="n">
        <f aca="false">F9/H9</f>
        <v>0.722222222222222</v>
      </c>
      <c r="D9" s="17" t="n">
        <f aca="false">G9/H9</f>
        <v>0.166666666666667</v>
      </c>
      <c r="E9" s="17" t="n">
        <f aca="false">100%-SUM(C9:D9)</f>
        <v>0.111111111111111</v>
      </c>
      <c r="F9" s="0" t="n">
        <v>13</v>
      </c>
      <c r="G9" s="0" t="n">
        <v>3</v>
      </c>
      <c r="H9" s="0" t="n">
        <v>18</v>
      </c>
    </row>
    <row r="10" customFormat="false" ht="14.4" hidden="false" customHeight="false" outlineLevel="0" collapsed="false">
      <c r="B10" s="0" t="s">
        <v>107</v>
      </c>
      <c r="C10" s="17" t="n">
        <f aca="false">F10/H10</f>
        <v>0.439393939393939</v>
      </c>
      <c r="D10" s="17" t="n">
        <f aca="false">G10/H10</f>
        <v>0.106060606060606</v>
      </c>
      <c r="E10" s="17" t="n">
        <f aca="false">100%-SUM(C10:D10)</f>
        <v>0.454545454545455</v>
      </c>
      <c r="F10" s="0" t="n">
        <v>29</v>
      </c>
      <c r="G10" s="0" t="n">
        <v>7</v>
      </c>
      <c r="H10" s="0" t="n">
        <v>66</v>
      </c>
    </row>
    <row r="11" customFormat="false" ht="14.4" hidden="false" customHeight="false" outlineLevel="0" collapsed="false">
      <c r="B11" s="0" t="s">
        <v>108</v>
      </c>
      <c r="C11" s="17" t="n">
        <f aca="false">F11/H11</f>
        <v>0.444444444444444</v>
      </c>
      <c r="D11" s="17" t="n">
        <f aca="false">G11/H11</f>
        <v>0</v>
      </c>
      <c r="E11" s="17" t="n">
        <f aca="false">100%-SUM(C11:D11)</f>
        <v>0.555555555555556</v>
      </c>
      <c r="F11" s="0" t="n">
        <v>8</v>
      </c>
      <c r="G11" s="0" t="n">
        <v>0</v>
      </c>
      <c r="H11" s="0" t="n">
        <v>18</v>
      </c>
    </row>
    <row r="12" customFormat="false" ht="14.4" hidden="false" customHeight="false" outlineLevel="0" collapsed="false">
      <c r="B12" s="0" t="s">
        <v>109</v>
      </c>
      <c r="C12" s="17" t="n">
        <f aca="false">F12/H12</f>
        <v>0.518518518518518</v>
      </c>
      <c r="D12" s="17" t="n">
        <f aca="false">G12/H12</f>
        <v>0.148148148148148</v>
      </c>
      <c r="E12" s="17" t="n">
        <f aca="false">100%-SUM(C12:D12)</f>
        <v>0.333333333333333</v>
      </c>
      <c r="F12" s="0" t="n">
        <v>28</v>
      </c>
      <c r="G12" s="0" t="n">
        <v>8</v>
      </c>
      <c r="H12" s="0" t="n">
        <v>54</v>
      </c>
    </row>
    <row r="13" customFormat="false" ht="14.4" hidden="false" customHeight="false" outlineLevel="0" collapsed="false">
      <c r="B13" s="0" t="s">
        <v>110</v>
      </c>
      <c r="C13" s="17" t="n">
        <f aca="false">F13/H13</f>
        <v>0.9</v>
      </c>
      <c r="D13" s="17" t="n">
        <f aca="false">G13/H13</f>
        <v>0.05</v>
      </c>
      <c r="E13" s="17" t="n">
        <f aca="false">100%-SUM(C13:D13)</f>
        <v>0.0499999999999999</v>
      </c>
      <c r="F13" s="0" t="n">
        <v>18</v>
      </c>
      <c r="G13" s="0" t="n">
        <v>1</v>
      </c>
      <c r="H13" s="0" t="n">
        <v>20</v>
      </c>
    </row>
    <row r="17" customFormat="false" ht="14.4" hidden="false" customHeight="false" outlineLevel="0" collapsed="false">
      <c r="B17" s="16" t="s">
        <v>111</v>
      </c>
    </row>
    <row r="18" customFormat="false" ht="14.4" hidden="false" customHeight="false" outlineLevel="0" collapsed="false">
      <c r="C18" s="0" t="s">
        <v>94</v>
      </c>
      <c r="D18" s="0" t="s">
        <v>95</v>
      </c>
      <c r="E18" s="0" t="s">
        <v>96</v>
      </c>
      <c r="F18" s="0" t="s">
        <v>94</v>
      </c>
      <c r="G18" s="0" t="s">
        <v>95</v>
      </c>
      <c r="H18" s="0" t="s">
        <v>99</v>
      </c>
    </row>
    <row r="19" customFormat="false" ht="14.4" hidden="false" customHeight="false" outlineLevel="0" collapsed="false">
      <c r="B19" s="0" t="s">
        <v>112</v>
      </c>
      <c r="C19" s="17" t="n">
        <f aca="false">F19/H19</f>
        <v>0.03125</v>
      </c>
      <c r="D19" s="17" t="n">
        <f aca="false">G19/H19</f>
        <v>0.7734375</v>
      </c>
      <c r="E19" s="17" t="n">
        <f aca="false">100%-SUM(C19:D19)</f>
        <v>0.1953125</v>
      </c>
      <c r="F19" s="0" t="n">
        <v>4</v>
      </c>
      <c r="G19" s="0" t="n">
        <v>99</v>
      </c>
      <c r="H19" s="0" t="n">
        <v>128</v>
      </c>
    </row>
    <row r="20" customFormat="false" ht="14.4" hidden="false" customHeight="false" outlineLevel="0" collapsed="false">
      <c r="B20" s="0" t="s">
        <v>113</v>
      </c>
      <c r="C20" s="17" t="n">
        <f aca="false">F20/H20</f>
        <v>0.0833333333333333</v>
      </c>
      <c r="D20" s="17" t="n">
        <f aca="false">G20/H20</f>
        <v>0.416666666666667</v>
      </c>
      <c r="E20" s="17" t="n">
        <f aca="false">100%-SUM(C20:D20)</f>
        <v>0.5</v>
      </c>
      <c r="F20" s="0" t="n">
        <v>6</v>
      </c>
      <c r="G20" s="0" t="n">
        <v>30</v>
      </c>
      <c r="H20" s="0" t="n">
        <v>72</v>
      </c>
    </row>
    <row r="21" customFormat="false" ht="14.4" hidden="false" customHeight="false" outlineLevel="0" collapsed="false">
      <c r="B21" s="0" t="s">
        <v>114</v>
      </c>
      <c r="C21" s="17" t="n">
        <f aca="false">F21/H21</f>
        <v>0.261904761904762</v>
      </c>
      <c r="D21" s="17" t="n">
        <f aca="false">G21/H21</f>
        <v>0.404761904761905</v>
      </c>
      <c r="E21" s="17" t="n">
        <f aca="false">100%-SUM(C21:D21)</f>
        <v>0.333333333333333</v>
      </c>
      <c r="F21" s="0" t="n">
        <v>11</v>
      </c>
      <c r="G21" s="0" t="n">
        <v>17</v>
      </c>
      <c r="H21" s="0" t="n">
        <v>42</v>
      </c>
    </row>
    <row r="22" customFormat="false" ht="14.4" hidden="false" customHeight="false" outlineLevel="0" collapsed="false">
      <c r="B22" s="0" t="s">
        <v>115</v>
      </c>
      <c r="C22" s="17" t="n">
        <f aca="false">F22/H22</f>
        <v>0.333333333333333</v>
      </c>
      <c r="D22" s="17" t="n">
        <f aca="false">G22/H22</f>
        <v>0.5</v>
      </c>
      <c r="E22" s="17" t="n">
        <f aca="false">100%-SUM(C22:D22)</f>
        <v>0.166666666666667</v>
      </c>
      <c r="F22" s="0" t="n">
        <v>10</v>
      </c>
      <c r="G22" s="0" t="n">
        <v>15</v>
      </c>
      <c r="H22" s="0" t="n">
        <v>30</v>
      </c>
    </row>
    <row r="23" customFormat="false" ht="14.4" hidden="false" customHeight="false" outlineLevel="0" collapsed="false">
      <c r="B23" s="0" t="s">
        <v>116</v>
      </c>
      <c r="C23" s="17" t="n">
        <f aca="false">F23/H23</f>
        <v>0</v>
      </c>
      <c r="D23" s="17" t="n">
        <f aca="false">G23/H23</f>
        <v>0.6</v>
      </c>
      <c r="E23" s="17" t="n">
        <f aca="false">100%-SUM(C23:D23)</f>
        <v>0.4</v>
      </c>
      <c r="G23" s="0" t="n">
        <v>9</v>
      </c>
      <c r="H23" s="0" t="n">
        <v>15</v>
      </c>
    </row>
    <row r="24" customFormat="false" ht="14.4" hidden="false" customHeight="false" outlineLevel="0" collapsed="false">
      <c r="B24" s="0" t="s">
        <v>117</v>
      </c>
      <c r="C24" s="17" t="n">
        <f aca="false">F24/H24</f>
        <v>0.383647798742138</v>
      </c>
      <c r="D24" s="17" t="n">
        <f aca="false">G24/H24</f>
        <v>0.213836477987421</v>
      </c>
      <c r="E24" s="17" t="n">
        <f aca="false">100%-SUM(C24:D24)</f>
        <v>0.40251572327044</v>
      </c>
      <c r="F24" s="0" t="n">
        <v>61</v>
      </c>
      <c r="G24" s="0" t="n">
        <v>34</v>
      </c>
      <c r="H24" s="0" t="n">
        <v>159</v>
      </c>
    </row>
    <row r="25" customFormat="false" ht="14.4" hidden="false" customHeight="false" outlineLevel="0" collapsed="false">
      <c r="B25" s="0" t="s">
        <v>118</v>
      </c>
      <c r="C25" s="17" t="n">
        <f aca="false">F25/H25</f>
        <v>0.0714285714285714</v>
      </c>
      <c r="D25" s="17" t="n">
        <f aca="false">G25/H25</f>
        <v>0.714285714285714</v>
      </c>
      <c r="E25" s="17" t="n">
        <f aca="false">100%-SUM(C25:D25)</f>
        <v>0.214285714285714</v>
      </c>
      <c r="F25" s="0" t="n">
        <v>1</v>
      </c>
      <c r="G25" s="0" t="n">
        <v>10</v>
      </c>
      <c r="H25" s="0" t="n">
        <v>14</v>
      </c>
    </row>
    <row r="26" customFormat="false" ht="14.4" hidden="false" customHeight="false" outlineLevel="0" collapsed="false">
      <c r="B26" s="0" t="s">
        <v>119</v>
      </c>
      <c r="C26" s="17" t="n">
        <f aca="false">F26/H26</f>
        <v>0.0634920634920635</v>
      </c>
      <c r="D26" s="17" t="n">
        <f aca="false">G26/H26</f>
        <v>0.46031746031746</v>
      </c>
      <c r="E26" s="17" t="n">
        <f aca="false">100%-SUM(C26:D26)</f>
        <v>0.476190476190476</v>
      </c>
      <c r="F26" s="0" t="n">
        <v>4</v>
      </c>
      <c r="G26" s="0" t="n">
        <v>29</v>
      </c>
      <c r="H26" s="0" t="n">
        <v>63</v>
      </c>
    </row>
    <row r="27" customFormat="false" ht="14.4" hidden="false" customHeight="false" outlineLevel="0" collapsed="false">
      <c r="B27" s="0" t="s">
        <v>120</v>
      </c>
      <c r="C27" s="17" t="n">
        <f aca="false">F27/H27</f>
        <v>0.142857142857143</v>
      </c>
      <c r="D27" s="17" t="n">
        <f aca="false">G27/H27</f>
        <v>0.357142857142857</v>
      </c>
      <c r="E27" s="17" t="n">
        <f aca="false">100%-SUM(C27:D27)</f>
        <v>0.5</v>
      </c>
      <c r="F27" s="0" t="n">
        <v>2</v>
      </c>
      <c r="G27" s="0" t="n">
        <v>5</v>
      </c>
      <c r="H27" s="0" t="n">
        <v>14</v>
      </c>
    </row>
    <row r="28" customFormat="false" ht="14.4" hidden="false" customHeight="false" outlineLevel="0" collapsed="false">
      <c r="B28" s="0" t="s">
        <v>121</v>
      </c>
      <c r="C28" s="17" t="n">
        <f aca="false">F28/H28</f>
        <v>0.0444444444444444</v>
      </c>
      <c r="D28" s="17" t="n">
        <f aca="false">G28/H28</f>
        <v>0.688888888888889</v>
      </c>
      <c r="E28" s="17" t="n">
        <f aca="false">100%-SUM(C28:D28)</f>
        <v>0.266666666666667</v>
      </c>
      <c r="F28" s="0" t="n">
        <v>2</v>
      </c>
      <c r="G28" s="0" t="n">
        <v>31</v>
      </c>
      <c r="H28" s="0" t="n">
        <v>45</v>
      </c>
    </row>
    <row r="29" customFormat="false" ht="14.4" hidden="false" customHeight="false" outlineLevel="0" collapsed="false">
      <c r="B29" s="0" t="s">
        <v>122</v>
      </c>
      <c r="C29" s="17" t="n">
        <f aca="false">F29/H29</f>
        <v>0.533333333333333</v>
      </c>
      <c r="D29" s="17" t="n">
        <f aca="false">G29/H29</f>
        <v>0.0666666666666667</v>
      </c>
      <c r="E29" s="17" t="n">
        <f aca="false">100%-SUM(C29:D29)</f>
        <v>0.4</v>
      </c>
      <c r="F29" s="0" t="n">
        <v>8</v>
      </c>
      <c r="G29" s="0" t="n">
        <v>1</v>
      </c>
      <c r="H29" s="0" t="n">
        <v>15</v>
      </c>
    </row>
    <row r="34" customFormat="false" ht="14.4" hidden="false" customHeight="false" outlineLevel="0" collapsed="false">
      <c r="B34" s="16" t="s">
        <v>123</v>
      </c>
      <c r="C34" s="0" t="s">
        <v>94</v>
      </c>
      <c r="D34" s="0" t="s">
        <v>95</v>
      </c>
      <c r="E34" s="0" t="s">
        <v>96</v>
      </c>
      <c r="F34" s="0" t="s">
        <v>94</v>
      </c>
      <c r="G34" s="0" t="s">
        <v>95</v>
      </c>
      <c r="H34" s="0" t="s">
        <v>99</v>
      </c>
    </row>
    <row r="35" customFormat="false" ht="14.4" hidden="false" customHeight="false" outlineLevel="0" collapsed="false">
      <c r="B35" s="0" t="s">
        <v>124</v>
      </c>
      <c r="C35" s="17" t="n">
        <f aca="false">F35/H35</f>
        <v>0.151724137931034</v>
      </c>
      <c r="D35" s="17" t="n">
        <f aca="false">G35/H35</f>
        <v>0.158620689655172</v>
      </c>
      <c r="E35" s="17" t="n">
        <f aca="false">100%-SUM(C35:D35)</f>
        <v>0.689655172413793</v>
      </c>
      <c r="F35" s="0" t="n">
        <v>22</v>
      </c>
      <c r="G35" s="0" t="n">
        <v>23</v>
      </c>
      <c r="H35" s="0" t="n">
        <v>145</v>
      </c>
    </row>
    <row r="36" customFormat="false" ht="14.4" hidden="false" customHeight="false" outlineLevel="0" collapsed="false">
      <c r="B36" s="0" t="s">
        <v>125</v>
      </c>
      <c r="C36" s="17" t="n">
        <f aca="false">F36/H36</f>
        <v>0.485294117647059</v>
      </c>
      <c r="D36" s="17" t="n">
        <f aca="false">G36/H36</f>
        <v>0.0882352941176471</v>
      </c>
      <c r="E36" s="17" t="n">
        <f aca="false">100%-SUM(C36:D36)</f>
        <v>0.426470588235294</v>
      </c>
      <c r="F36" s="0" t="n">
        <v>33</v>
      </c>
      <c r="G36" s="0" t="n">
        <v>6</v>
      </c>
      <c r="H36" s="0" t="n">
        <v>68</v>
      </c>
    </row>
    <row r="37" customFormat="false" ht="14.4" hidden="false" customHeight="false" outlineLevel="0" collapsed="false">
      <c r="B37" s="0" t="s">
        <v>126</v>
      </c>
      <c r="C37" s="17" t="n">
        <f aca="false">F37/H37</f>
        <v>0.575</v>
      </c>
      <c r="D37" s="17" t="n">
        <f aca="false">G37/H37</f>
        <v>0.05</v>
      </c>
      <c r="E37" s="17" t="n">
        <f aca="false">100%-SUM(C37:D37)</f>
        <v>0.375</v>
      </c>
      <c r="F37" s="0" t="n">
        <v>23</v>
      </c>
      <c r="G37" s="0" t="n">
        <v>2</v>
      </c>
      <c r="H37" s="0" t="n">
        <v>40</v>
      </c>
    </row>
    <row r="38" customFormat="false" ht="14.4" hidden="false" customHeight="false" outlineLevel="0" collapsed="false">
      <c r="B38" s="0" t="s">
        <v>127</v>
      </c>
      <c r="C38" s="17" t="n">
        <f aca="false">F38/H38</f>
        <v>0.263157894736842</v>
      </c>
      <c r="D38" s="17" t="n">
        <f aca="false">G38/H38</f>
        <v>0.210526315789474</v>
      </c>
      <c r="E38" s="17" t="n">
        <f aca="false">100%-SUM(C38:D38)</f>
        <v>0.526315789473684</v>
      </c>
      <c r="F38" s="0" t="n">
        <v>5</v>
      </c>
      <c r="G38" s="0" t="n">
        <v>4</v>
      </c>
      <c r="H38" s="0" t="n">
        <v>19</v>
      </c>
    </row>
    <row r="39" customFormat="false" ht="14.4" hidden="false" customHeight="false" outlineLevel="0" collapsed="false">
      <c r="B39" s="0" t="s">
        <v>128</v>
      </c>
      <c r="C39" s="17" t="n">
        <f aca="false">F39/H39</f>
        <v>0.333333333333333</v>
      </c>
      <c r="D39" s="17" t="n">
        <f aca="false">G39/H39</f>
        <v>0.0833333333333333</v>
      </c>
      <c r="E39" s="17" t="n">
        <f aca="false">100%-SUM(C39:D39)</f>
        <v>0.583333333333333</v>
      </c>
      <c r="F39" s="0" t="n">
        <v>4</v>
      </c>
      <c r="G39" s="0" t="n">
        <v>1</v>
      </c>
      <c r="H39" s="0" t="n">
        <v>12</v>
      </c>
    </row>
    <row r="40" customFormat="false" ht="14.4" hidden="false" customHeight="false" outlineLevel="0" collapsed="false">
      <c r="B40" s="0" t="s">
        <v>129</v>
      </c>
      <c r="C40" s="17" t="n">
        <f aca="false">F40/H40</f>
        <v>0.105633802816901</v>
      </c>
      <c r="D40" s="17" t="n">
        <f aca="false">G40/H40</f>
        <v>0.26056338028169</v>
      </c>
      <c r="E40" s="17" t="n">
        <f aca="false">100%-SUM(C40:D40)</f>
        <v>0.633802816901409</v>
      </c>
      <c r="F40" s="0" t="n">
        <v>15</v>
      </c>
      <c r="G40" s="0" t="n">
        <v>37</v>
      </c>
      <c r="H40" s="0" t="n">
        <v>142</v>
      </c>
    </row>
    <row r="41" customFormat="false" ht="14.4" hidden="false" customHeight="false" outlineLevel="0" collapsed="false">
      <c r="B41" s="0" t="s">
        <v>130</v>
      </c>
      <c r="C41" s="17" t="n">
        <f aca="false">F41/H41</f>
        <v>0.125</v>
      </c>
      <c r="D41" s="17" t="n">
        <f aca="false">G41/H41</f>
        <v>0.1875</v>
      </c>
      <c r="E41" s="17" t="n">
        <f aca="false">100%-SUM(C41:D41)</f>
        <v>0.6875</v>
      </c>
      <c r="F41" s="0" t="n">
        <v>2</v>
      </c>
      <c r="G41" s="0" t="n">
        <v>3</v>
      </c>
      <c r="H41" s="0" t="n">
        <v>16</v>
      </c>
    </row>
    <row r="42" customFormat="false" ht="14.4" hidden="false" customHeight="false" outlineLevel="0" collapsed="false">
      <c r="B42" s="0" t="s">
        <v>131</v>
      </c>
      <c r="C42" s="17" t="n">
        <f aca="false">F42/H42</f>
        <v>0.0689655172413793</v>
      </c>
      <c r="D42" s="17" t="n">
        <f aca="false">G42/H42</f>
        <v>0.224137931034483</v>
      </c>
      <c r="E42" s="17" t="n">
        <f aca="false">100%-SUM(C42:D42)</f>
        <v>0.706896551724138</v>
      </c>
      <c r="F42" s="0" t="n">
        <v>4</v>
      </c>
      <c r="G42" s="0" t="n">
        <v>13</v>
      </c>
      <c r="H42" s="0" t="n">
        <v>58</v>
      </c>
    </row>
    <row r="43" customFormat="false" ht="14.4" hidden="false" customHeight="false" outlineLevel="0" collapsed="false">
      <c r="B43" s="0" t="s">
        <v>132</v>
      </c>
      <c r="C43" s="17" t="n">
        <f aca="false">F43/H43</f>
        <v>0.363636363636364</v>
      </c>
      <c r="D43" s="17" t="n">
        <f aca="false">G43/H43</f>
        <v>0.454545454545455</v>
      </c>
      <c r="E43" s="17" t="n">
        <f aca="false">100%-SUM(C43:D43)</f>
        <v>0.181818181818182</v>
      </c>
      <c r="F43" s="0" t="n">
        <v>4</v>
      </c>
      <c r="G43" s="0" t="n">
        <v>5</v>
      </c>
      <c r="H43" s="0" t="n">
        <v>11</v>
      </c>
    </row>
    <row r="44" customFormat="false" ht="14.4" hidden="false" customHeight="false" outlineLevel="0" collapsed="false">
      <c r="B44" s="0" t="s">
        <v>133</v>
      </c>
      <c r="C44" s="17" t="n">
        <f aca="false">F44/H44</f>
        <v>0.22</v>
      </c>
      <c r="D44" s="17" t="n">
        <f aca="false">G44/H44</f>
        <v>0.2</v>
      </c>
      <c r="E44" s="17" t="n">
        <f aca="false">100%-SUM(C44:D44)</f>
        <v>0.58</v>
      </c>
      <c r="F44" s="0" t="n">
        <v>11</v>
      </c>
      <c r="G44" s="0" t="n">
        <v>10</v>
      </c>
      <c r="H44" s="0" t="n">
        <v>50</v>
      </c>
    </row>
    <row r="45" customFormat="false" ht="14.4" hidden="false" customHeight="false" outlineLevel="0" collapsed="false">
      <c r="B45" s="0" t="s">
        <v>134</v>
      </c>
      <c r="C45" s="17" t="n">
        <f aca="false">F45/H45</f>
        <v>0.294117647058823</v>
      </c>
      <c r="D45" s="17" t="n">
        <f aca="false">G45/H45</f>
        <v>0.117647058823529</v>
      </c>
      <c r="E45" s="17" t="n">
        <f aca="false">100%-SUM(C45:D45)</f>
        <v>0.588235294117647</v>
      </c>
      <c r="F45" s="0" t="n">
        <v>5</v>
      </c>
      <c r="G45" s="0" t="n">
        <v>2</v>
      </c>
      <c r="H45" s="0" t="n">
        <v>17</v>
      </c>
    </row>
    <row r="51" customFormat="false" ht="14.4" hidden="false" customHeight="false" outlineLevel="0" collapsed="false">
      <c r="B51" s="16" t="s">
        <v>135</v>
      </c>
      <c r="C51" s="0" t="s">
        <v>94</v>
      </c>
      <c r="D51" s="0" t="s">
        <v>95</v>
      </c>
      <c r="E51" s="0" t="s">
        <v>96</v>
      </c>
      <c r="F51" s="0" t="s">
        <v>94</v>
      </c>
      <c r="G51" s="0" t="s">
        <v>95</v>
      </c>
      <c r="H51" s="0" t="s">
        <v>99</v>
      </c>
    </row>
    <row r="52" customFormat="false" ht="14.4" hidden="false" customHeight="false" outlineLevel="0" collapsed="false">
      <c r="B52" s="0" t="s">
        <v>136</v>
      </c>
      <c r="C52" s="17" t="n">
        <f aca="false">F52/H52</f>
        <v>0.261682242990654</v>
      </c>
      <c r="D52" s="17" t="n">
        <f aca="false">G52/H52</f>
        <v>0.121495327102804</v>
      </c>
      <c r="E52" s="17" t="n">
        <f aca="false">100%-SUM(C52:D52)</f>
        <v>0.616822429906542</v>
      </c>
      <c r="F52" s="0" t="n">
        <v>28</v>
      </c>
      <c r="G52" s="0" t="n">
        <v>13</v>
      </c>
      <c r="H52" s="0" t="n">
        <v>107</v>
      </c>
    </row>
    <row r="53" customFormat="false" ht="14.4" hidden="false" customHeight="false" outlineLevel="0" collapsed="false">
      <c r="B53" s="0" t="s">
        <v>137</v>
      </c>
      <c r="C53" s="17" t="n">
        <f aca="false">F53/H53</f>
        <v>0.292307692307692</v>
      </c>
      <c r="D53" s="17" t="n">
        <f aca="false">G53/H53</f>
        <v>0.215384615384615</v>
      </c>
      <c r="E53" s="17" t="n">
        <f aca="false">100%-SUM(C53:D53)</f>
        <v>0.492307692307692</v>
      </c>
      <c r="F53" s="0" t="n">
        <v>19</v>
      </c>
      <c r="G53" s="0" t="n">
        <v>14</v>
      </c>
      <c r="H53" s="0" t="n">
        <v>65</v>
      </c>
    </row>
    <row r="54" customFormat="false" ht="14.4" hidden="false" customHeight="false" outlineLevel="0" collapsed="false">
      <c r="B54" s="0" t="s">
        <v>138</v>
      </c>
      <c r="C54" s="17" t="n">
        <f aca="false">F54/H54</f>
        <v>0.538461538461538</v>
      </c>
      <c r="D54" s="17" t="n">
        <f aca="false">G54/H54</f>
        <v>0.192307692307692</v>
      </c>
      <c r="E54" s="17" t="n">
        <f aca="false">100%-SUM(C54:D54)</f>
        <v>0.269230769230769</v>
      </c>
      <c r="F54" s="0" t="n">
        <v>14</v>
      </c>
      <c r="G54" s="0" t="n">
        <v>5</v>
      </c>
      <c r="H54" s="0" t="n">
        <v>26</v>
      </c>
    </row>
    <row r="55" customFormat="false" ht="14.4" hidden="false" customHeight="false" outlineLevel="0" collapsed="false">
      <c r="B55" s="0" t="s">
        <v>139</v>
      </c>
      <c r="C55" s="17" t="n">
        <f aca="false">F55/H55</f>
        <v>0.863636363636364</v>
      </c>
      <c r="D55" s="17" t="n">
        <f aca="false">G55/H55</f>
        <v>0</v>
      </c>
      <c r="E55" s="17" t="n">
        <f aca="false">100%-SUM(C55:D55)</f>
        <v>0.136363636363636</v>
      </c>
      <c r="F55" s="0" t="n">
        <v>19</v>
      </c>
      <c r="H55" s="0" t="n">
        <v>22</v>
      </c>
    </row>
    <row r="56" customFormat="false" ht="14.4" hidden="false" customHeight="false" outlineLevel="0" collapsed="false">
      <c r="B56" s="0" t="s">
        <v>140</v>
      </c>
      <c r="C56" s="17" t="n">
        <f aca="false">F56/H56</f>
        <v>0.454545454545455</v>
      </c>
      <c r="D56" s="17" t="n">
        <f aca="false">G56/H56</f>
        <v>0.0909090909090909</v>
      </c>
      <c r="E56" s="17" t="n">
        <f aca="false">100%-SUM(C56:D56)</f>
        <v>0.454545454545455</v>
      </c>
      <c r="F56" s="0" t="n">
        <v>5</v>
      </c>
      <c r="G56" s="0" t="n">
        <v>1</v>
      </c>
      <c r="H56" s="0" t="n">
        <v>11</v>
      </c>
    </row>
    <row r="57" customFormat="false" ht="14.4" hidden="false" customHeight="false" outlineLevel="0" collapsed="false">
      <c r="B57" s="0" t="s">
        <v>141</v>
      </c>
      <c r="C57" s="17" t="n">
        <f aca="false">F57/H57</f>
        <v>0.342342342342342</v>
      </c>
      <c r="D57" s="17" t="n">
        <f aca="false">G57/H57</f>
        <v>0.153153153153153</v>
      </c>
      <c r="E57" s="17" t="n">
        <f aca="false">100%-SUM(C57:D57)</f>
        <v>0.504504504504504</v>
      </c>
      <c r="F57" s="0" t="n">
        <v>38</v>
      </c>
      <c r="G57" s="0" t="n">
        <v>17</v>
      </c>
      <c r="H57" s="0" t="n">
        <v>111</v>
      </c>
    </row>
    <row r="58" customFormat="false" ht="14.4" hidden="false" customHeight="false" outlineLevel="0" collapsed="false">
      <c r="B58" s="0" t="s">
        <v>142</v>
      </c>
      <c r="C58" s="17" t="n">
        <f aca="false">F58/H58</f>
        <v>0.272727272727273</v>
      </c>
      <c r="D58" s="17" t="n">
        <f aca="false">G58/H58</f>
        <v>0.0909090909090909</v>
      </c>
      <c r="E58" s="17" t="n">
        <f aca="false">100%-SUM(C58:D58)</f>
        <v>0.636363636363636</v>
      </c>
      <c r="F58" s="0" t="n">
        <v>3</v>
      </c>
      <c r="G58" s="0" t="n">
        <v>1</v>
      </c>
      <c r="H58" s="0" t="n">
        <v>11</v>
      </c>
    </row>
    <row r="59" customFormat="false" ht="14.4" hidden="false" customHeight="false" outlineLevel="0" collapsed="false">
      <c r="B59" s="0" t="s">
        <v>143</v>
      </c>
      <c r="C59" s="17" t="n">
        <f aca="false">F59/H59</f>
        <v>0.410714285714286</v>
      </c>
      <c r="D59" s="17" t="n">
        <f aca="false">G59/H59</f>
        <v>0.0892857142857143</v>
      </c>
      <c r="E59" s="17" t="n">
        <f aca="false">100%-SUM(C59:D59)</f>
        <v>0.5</v>
      </c>
      <c r="F59" s="0" t="n">
        <v>23</v>
      </c>
      <c r="G59" s="0" t="n">
        <v>5</v>
      </c>
      <c r="H59" s="0" t="n">
        <v>56</v>
      </c>
    </row>
    <row r="60" customFormat="false" ht="14.4" hidden="false" customHeight="false" outlineLevel="0" collapsed="false">
      <c r="B60" s="0" t="s">
        <v>144</v>
      </c>
      <c r="C60" s="17" t="n">
        <f aca="false">F60/H60</f>
        <v>0.2</v>
      </c>
      <c r="D60" s="17" t="n">
        <f aca="false">G60/H60</f>
        <v>0.3</v>
      </c>
      <c r="E60" s="17" t="n">
        <f aca="false">100%-SUM(C60:D60)</f>
        <v>0.5</v>
      </c>
      <c r="F60" s="0" t="n">
        <v>2</v>
      </c>
      <c r="G60" s="0" t="n">
        <v>3</v>
      </c>
      <c r="H60" s="0" t="n">
        <v>10</v>
      </c>
    </row>
    <row r="61" customFormat="false" ht="14.4" hidden="false" customHeight="false" outlineLevel="0" collapsed="false">
      <c r="B61" s="0" t="s">
        <v>145</v>
      </c>
      <c r="C61" s="17" t="n">
        <f aca="false">F61/H61</f>
        <v>0.547619047619048</v>
      </c>
      <c r="D61" s="17" t="n">
        <f aca="false">G61/H61</f>
        <v>0.119047619047619</v>
      </c>
      <c r="E61" s="17" t="n">
        <f aca="false">100%-SUM(C61:D61)</f>
        <v>0.333333333333333</v>
      </c>
      <c r="F61" s="0" t="n">
        <v>23</v>
      </c>
      <c r="G61" s="0" t="n">
        <v>5</v>
      </c>
      <c r="H61" s="0" t="n">
        <v>42</v>
      </c>
    </row>
    <row r="62" customFormat="false" ht="14.4" hidden="false" customHeight="false" outlineLevel="0" collapsed="false">
      <c r="C62" s="17"/>
      <c r="D62" s="17"/>
      <c r="E62" s="17"/>
    </row>
    <row r="69" customFormat="false" ht="14.4" hidden="false" customHeight="false" outlineLevel="0" collapsed="false">
      <c r="B69" s="16" t="s">
        <v>146</v>
      </c>
      <c r="C69" s="0" t="s">
        <v>94</v>
      </c>
      <c r="D69" s="0" t="s">
        <v>95</v>
      </c>
      <c r="E69" s="0" t="s">
        <v>96</v>
      </c>
      <c r="F69" s="0" t="s">
        <v>94</v>
      </c>
      <c r="G69" s="0" t="s">
        <v>95</v>
      </c>
      <c r="H69" s="0" t="s">
        <v>99</v>
      </c>
      <c r="M69" s="0" t="s">
        <v>94</v>
      </c>
      <c r="N69" s="0" t="s">
        <v>95</v>
      </c>
      <c r="O69" s="0" t="s">
        <v>96</v>
      </c>
    </row>
    <row r="70" customFormat="false" ht="14.4" hidden="false" customHeight="false" outlineLevel="0" collapsed="false">
      <c r="B70" s="0" t="s">
        <v>147</v>
      </c>
      <c r="C70" s="17" t="n">
        <f aca="false">F70/H70</f>
        <v>0.452229299363057</v>
      </c>
      <c r="D70" s="17" t="n">
        <f aca="false">G70/H70</f>
        <v>0.089171974522293</v>
      </c>
      <c r="E70" s="17" t="n">
        <f aca="false">100%-SUM(C70:D70)</f>
        <v>0.45859872611465</v>
      </c>
      <c r="F70" s="0" t="n">
        <v>71</v>
      </c>
      <c r="G70" s="0" t="n">
        <v>14</v>
      </c>
      <c r="H70" s="0" t="n">
        <v>157</v>
      </c>
      <c r="L70" s="0" t="s">
        <v>70</v>
      </c>
      <c r="M70" s="0" t="n">
        <v>286</v>
      </c>
      <c r="N70" s="0" t="n">
        <v>99</v>
      </c>
      <c r="O70" s="0" t="n">
        <v>401</v>
      </c>
    </row>
    <row r="71" customFormat="false" ht="14.4" hidden="false" customHeight="false" outlineLevel="0" collapsed="false">
      <c r="B71" s="0" t="s">
        <v>113</v>
      </c>
      <c r="C71" s="17" t="n">
        <f aca="false">F71/H71</f>
        <v>0.111111111111111</v>
      </c>
      <c r="D71" s="17" t="n">
        <f aca="false">G71/H71</f>
        <v>0.375</v>
      </c>
      <c r="E71" s="17" t="n">
        <f aca="false">100%-SUM(C71:D71)</f>
        <v>0.513888888888889</v>
      </c>
      <c r="F71" s="0" t="n">
        <v>8</v>
      </c>
      <c r="G71" s="0" t="n">
        <v>27</v>
      </c>
      <c r="H71" s="0" t="n">
        <v>72</v>
      </c>
      <c r="L71" s="0" t="s">
        <v>93</v>
      </c>
      <c r="M71" s="0" t="n">
        <v>115</v>
      </c>
      <c r="N71" s="0" t="n">
        <v>306</v>
      </c>
      <c r="O71" s="0" t="n">
        <v>223</v>
      </c>
    </row>
    <row r="72" customFormat="false" ht="14.4" hidden="false" customHeight="false" outlineLevel="0" collapsed="false">
      <c r="B72" s="0" t="s">
        <v>148</v>
      </c>
      <c r="C72" s="17" t="n">
        <f aca="false">F72/H72</f>
        <v>0</v>
      </c>
      <c r="D72" s="17" t="n">
        <f aca="false">G72/H72</f>
        <v>0.818181818181818</v>
      </c>
      <c r="E72" s="17" t="n">
        <f aca="false">100%-SUM(C72:D72)</f>
        <v>0.181818181818182</v>
      </c>
      <c r="G72" s="0" t="n">
        <v>18</v>
      </c>
      <c r="H72" s="0" t="n">
        <v>22</v>
      </c>
      <c r="L72" s="0" t="s">
        <v>75</v>
      </c>
      <c r="M72" s="0" t="n">
        <v>176</v>
      </c>
      <c r="N72" s="0" t="n">
        <v>71</v>
      </c>
      <c r="O72" s="0" t="n">
        <v>252</v>
      </c>
    </row>
    <row r="73" customFormat="false" ht="14.4" hidden="false" customHeight="false" outlineLevel="0" collapsed="false">
      <c r="B73" s="0" t="s">
        <v>149</v>
      </c>
      <c r="C73" s="17" t="n">
        <f aca="false">F73/H73</f>
        <v>0.178571428571429</v>
      </c>
      <c r="D73" s="17" t="n">
        <f aca="false">G73/H73</f>
        <v>0.25</v>
      </c>
      <c r="E73" s="17" t="n">
        <f aca="false">100%-SUM(C73:D73)</f>
        <v>0.571428571428571</v>
      </c>
      <c r="F73" s="0" t="n">
        <v>5</v>
      </c>
      <c r="G73" s="0" t="n">
        <v>7</v>
      </c>
      <c r="H73" s="0" t="n">
        <v>28</v>
      </c>
      <c r="L73" s="0" t="s">
        <v>73</v>
      </c>
      <c r="M73" s="0" t="n">
        <v>147</v>
      </c>
      <c r="N73" s="0" t="n">
        <v>115</v>
      </c>
      <c r="O73" s="0" t="n">
        <v>357</v>
      </c>
    </row>
    <row r="74" customFormat="false" ht="14.4" hidden="false" customHeight="false" outlineLevel="0" collapsed="false">
      <c r="B74" s="0" t="s">
        <v>140</v>
      </c>
      <c r="C74" s="17" t="n">
        <f aca="false">F74/H74</f>
        <v>0.0909090909090909</v>
      </c>
      <c r="D74" s="17" t="n">
        <f aca="false">G74/H74</f>
        <v>0.181818181818182</v>
      </c>
      <c r="E74" s="17" t="n">
        <f aca="false">100%-SUM(C74:D74)</f>
        <v>0.727272727272727</v>
      </c>
      <c r="F74" s="0" t="n">
        <v>1</v>
      </c>
      <c r="G74" s="0" t="n">
        <v>2</v>
      </c>
      <c r="H74" s="0" t="n">
        <v>11</v>
      </c>
      <c r="L74" s="0" t="s">
        <v>146</v>
      </c>
      <c r="M74" s="0" t="n">
        <v>105</v>
      </c>
      <c r="N74" s="0" t="n">
        <v>200</v>
      </c>
      <c r="O74" s="0" t="n">
        <v>297</v>
      </c>
    </row>
    <row r="75" customFormat="false" ht="14.4" hidden="false" customHeight="false" outlineLevel="0" collapsed="false">
      <c r="B75" s="0" t="s">
        <v>150</v>
      </c>
      <c r="C75" s="17" t="n">
        <f aca="false">F75/H75</f>
        <v>0.062015503875969</v>
      </c>
      <c r="D75" s="17" t="n">
        <f aca="false">G75/H75</f>
        <v>0.511627906976744</v>
      </c>
      <c r="E75" s="17" t="n">
        <f aca="false">100%-SUM(C75:D75)</f>
        <v>0.426356589147287</v>
      </c>
      <c r="F75" s="0" t="n">
        <v>8</v>
      </c>
      <c r="G75" s="0" t="n">
        <v>66</v>
      </c>
      <c r="H75" s="0" t="n">
        <v>129</v>
      </c>
      <c r="L75" s="0" t="s">
        <v>151</v>
      </c>
      <c r="M75" s="0" t="n">
        <v>124</v>
      </c>
      <c r="N75" s="0" t="n">
        <v>171</v>
      </c>
      <c r="O75" s="0" t="n">
        <v>328</v>
      </c>
    </row>
    <row r="76" customFormat="false" ht="14.4" hidden="false" customHeight="false" outlineLevel="0" collapsed="false">
      <c r="B76" s="0" t="s">
        <v>152</v>
      </c>
      <c r="C76" s="17" t="n">
        <f aca="false">F76/H76</f>
        <v>0.0769230769230769</v>
      </c>
      <c r="D76" s="17" t="n">
        <f aca="false">G76/H76</f>
        <v>0.153846153846154</v>
      </c>
      <c r="E76" s="17" t="n">
        <f aca="false">100%-SUM(C76:D76)</f>
        <v>0.769230769230769</v>
      </c>
      <c r="F76" s="0" t="n">
        <v>1</v>
      </c>
      <c r="G76" s="0" t="n">
        <v>2</v>
      </c>
      <c r="H76" s="0" t="n">
        <v>13</v>
      </c>
    </row>
    <row r="77" customFormat="false" ht="14.4" hidden="false" customHeight="false" outlineLevel="0" collapsed="false">
      <c r="B77" s="0" t="s">
        <v>153</v>
      </c>
      <c r="C77" s="17" t="n">
        <f aca="false">F77/H77</f>
        <v>0.105263157894737</v>
      </c>
      <c r="D77" s="17" t="n">
        <f aca="false">G77/H77</f>
        <v>0.210526315789474</v>
      </c>
      <c r="E77" s="17" t="n">
        <f aca="false">100%-SUM(C77:D77)</f>
        <v>0.68421052631579</v>
      </c>
      <c r="F77" s="0" t="n">
        <v>6</v>
      </c>
      <c r="G77" s="0" t="n">
        <v>12</v>
      </c>
      <c r="H77" s="0" t="n">
        <v>57</v>
      </c>
    </row>
    <row r="78" customFormat="false" ht="14.4" hidden="false" customHeight="false" outlineLevel="0" collapsed="false">
      <c r="B78" s="0" t="s">
        <v>154</v>
      </c>
      <c r="C78" s="17" t="n">
        <f aca="false">F78/H78</f>
        <v>0.0769230769230769</v>
      </c>
      <c r="D78" s="17" t="n">
        <f aca="false">G78/H78</f>
        <v>0.538461538461538</v>
      </c>
      <c r="E78" s="17" t="n">
        <f aca="false">100%-SUM(C78:D78)</f>
        <v>0.384615384615385</v>
      </c>
      <c r="F78" s="0" t="n">
        <v>1</v>
      </c>
      <c r="G78" s="0" t="n">
        <v>7</v>
      </c>
      <c r="H78" s="0" t="n">
        <v>13</v>
      </c>
    </row>
    <row r="79" customFormat="false" ht="14.4" hidden="false" customHeight="false" outlineLevel="0" collapsed="false">
      <c r="B79" s="0" t="s">
        <v>155</v>
      </c>
      <c r="C79" s="17" t="n">
        <f aca="false">F79/H79</f>
        <v>0.0652173913043478</v>
      </c>
      <c r="D79" s="17" t="n">
        <f aca="false">G79/H79</f>
        <v>0.369565217391304</v>
      </c>
      <c r="E79" s="17" t="n">
        <f aca="false">100%-SUM(C79:D79)</f>
        <v>0.565217391304348</v>
      </c>
      <c r="F79" s="0" t="n">
        <v>3</v>
      </c>
      <c r="G79" s="0" t="n">
        <v>17</v>
      </c>
      <c r="H79" s="0" t="n">
        <v>46</v>
      </c>
    </row>
    <row r="80" customFormat="false" ht="14.4" hidden="false" customHeight="false" outlineLevel="0" collapsed="false">
      <c r="B80" s="0" t="s">
        <v>134</v>
      </c>
      <c r="C80" s="17" t="n">
        <f aca="false">F80/H80</f>
        <v>0</v>
      </c>
      <c r="D80" s="17" t="n">
        <f aca="false">G80/H80</f>
        <v>0.941176470588235</v>
      </c>
      <c r="E80" s="17" t="n">
        <f aca="false">100%-SUM(C80:D80)</f>
        <v>0.0588235294117647</v>
      </c>
      <c r="G80" s="0" t="n">
        <v>16</v>
      </c>
      <c r="H80" s="0" t="n">
        <v>17</v>
      </c>
    </row>
    <row r="84" customFormat="false" ht="14.4" hidden="false" customHeight="false" outlineLevel="0" collapsed="false">
      <c r="B84" s="16" t="s">
        <v>151</v>
      </c>
      <c r="C84" s="0" t="s">
        <v>94</v>
      </c>
      <c r="D84" s="0" t="s">
        <v>95</v>
      </c>
      <c r="E84" s="0" t="s">
        <v>96</v>
      </c>
      <c r="F84" s="0" t="s">
        <v>94</v>
      </c>
      <c r="G84" s="0" t="s">
        <v>95</v>
      </c>
      <c r="H84" s="0" t="s">
        <v>99</v>
      </c>
    </row>
    <row r="85" customFormat="false" ht="14.4" hidden="false" customHeight="false" outlineLevel="0" collapsed="false">
      <c r="B85" s="0" t="s">
        <v>156</v>
      </c>
      <c r="C85" s="17" t="n">
        <f aca="false">F85/H85</f>
        <v>0.264285714285714</v>
      </c>
      <c r="D85" s="17" t="n">
        <f aca="false">G85/H85</f>
        <v>0.178571428571429</v>
      </c>
      <c r="E85" s="17" t="n">
        <f aca="false">100%-SUM(C85:D85)</f>
        <v>0.557142857142857</v>
      </c>
      <c r="F85" s="0" t="n">
        <v>37</v>
      </c>
      <c r="G85" s="0" t="n">
        <v>25</v>
      </c>
      <c r="H85" s="0" t="n">
        <v>140</v>
      </c>
    </row>
    <row r="86" customFormat="false" ht="14.4" hidden="false" customHeight="false" outlineLevel="0" collapsed="false">
      <c r="B86" s="0" t="s">
        <v>157</v>
      </c>
      <c r="C86" s="17" t="n">
        <f aca="false">F86/H86</f>
        <v>0.28169014084507</v>
      </c>
      <c r="D86" s="17" t="n">
        <f aca="false">G86/H86</f>
        <v>0.267605633802817</v>
      </c>
      <c r="E86" s="17" t="n">
        <f aca="false">100%-SUM(C86:D86)</f>
        <v>0.450704225352113</v>
      </c>
      <c r="F86" s="0" t="n">
        <v>20</v>
      </c>
      <c r="G86" s="0" t="n">
        <v>19</v>
      </c>
      <c r="H86" s="0" t="n">
        <v>71</v>
      </c>
    </row>
    <row r="87" customFormat="false" ht="14.4" hidden="false" customHeight="false" outlineLevel="0" collapsed="false">
      <c r="B87" s="0" t="s">
        <v>158</v>
      </c>
      <c r="C87" s="17" t="n">
        <f aca="false">F87/H87</f>
        <v>0.136363636363636</v>
      </c>
      <c r="D87" s="17" t="n">
        <f aca="false">G87/H87</f>
        <v>0.295454545454545</v>
      </c>
      <c r="E87" s="17" t="n">
        <f aca="false">100%-SUM(C87:D87)</f>
        <v>0.568181818181818</v>
      </c>
      <c r="F87" s="0" t="n">
        <v>6</v>
      </c>
      <c r="G87" s="0" t="n">
        <v>13</v>
      </c>
      <c r="H87" s="0" t="n">
        <v>44</v>
      </c>
    </row>
    <row r="88" customFormat="false" ht="14.4" hidden="false" customHeight="false" outlineLevel="0" collapsed="false">
      <c r="B88" s="0" t="s">
        <v>159</v>
      </c>
      <c r="C88" s="17" t="n">
        <f aca="false">F88/H88</f>
        <v>0.0689655172413793</v>
      </c>
      <c r="D88" s="17" t="n">
        <f aca="false">G88/H88</f>
        <v>0.482758620689655</v>
      </c>
      <c r="E88" s="17" t="n">
        <f aca="false">100%-SUM(C88:D88)</f>
        <v>0.448275862068966</v>
      </c>
      <c r="F88" s="0" t="n">
        <v>2</v>
      </c>
      <c r="G88" s="0" t="n">
        <v>14</v>
      </c>
      <c r="H88" s="0" t="n">
        <v>29</v>
      </c>
    </row>
    <row r="89" customFormat="false" ht="14.4" hidden="false" customHeight="false" outlineLevel="0" collapsed="false">
      <c r="B89" s="0" t="s">
        <v>160</v>
      </c>
      <c r="C89" s="17" t="n">
        <f aca="false">F89/H89</f>
        <v>0.411764705882353</v>
      </c>
      <c r="D89" s="17" t="n">
        <f aca="false">G89/H89</f>
        <v>0.176470588235294</v>
      </c>
      <c r="E89" s="17" t="n">
        <f aca="false">100%-SUM(C89:D89)</f>
        <v>0.411764705882353</v>
      </c>
      <c r="F89" s="0" t="n">
        <v>7</v>
      </c>
      <c r="G89" s="0" t="n">
        <v>3</v>
      </c>
      <c r="H89" s="0" t="n">
        <v>17</v>
      </c>
    </row>
    <row r="90" customFormat="false" ht="14.4" hidden="false" customHeight="false" outlineLevel="0" collapsed="false">
      <c r="B90" s="0" t="s">
        <v>161</v>
      </c>
      <c r="C90" s="17" t="n">
        <f aca="false">F90/H90</f>
        <v>0.195652173913043</v>
      </c>
      <c r="D90" s="17" t="n">
        <f aca="false">G90/H90</f>
        <v>0.347826086956522</v>
      </c>
      <c r="E90" s="17" t="n">
        <f aca="false">100%-SUM(C90:D90)</f>
        <v>0.456521739130435</v>
      </c>
      <c r="F90" s="0" t="n">
        <v>27</v>
      </c>
      <c r="G90" s="0" t="n">
        <v>48</v>
      </c>
      <c r="H90" s="0" t="n">
        <v>138</v>
      </c>
    </row>
    <row r="91" customFormat="false" ht="14.4" hidden="false" customHeight="false" outlineLevel="0" collapsed="false">
      <c r="B91" s="0" t="s">
        <v>162</v>
      </c>
      <c r="C91" s="17" t="n">
        <f aca="false">F91/H91</f>
        <v>0.133333333333333</v>
      </c>
      <c r="D91" s="17" t="n">
        <f aca="false">G91/H91</f>
        <v>0.2</v>
      </c>
      <c r="E91" s="17" t="n">
        <f aca="false">100%-SUM(C91:D91)</f>
        <v>0.666666666666667</v>
      </c>
      <c r="F91" s="0" t="n">
        <v>2</v>
      </c>
      <c r="G91" s="0" t="n">
        <v>3</v>
      </c>
      <c r="H91" s="0" t="n">
        <v>15</v>
      </c>
    </row>
    <row r="92" customFormat="false" ht="14.4" hidden="false" customHeight="false" outlineLevel="0" collapsed="false">
      <c r="B92" s="0" t="s">
        <v>153</v>
      </c>
      <c r="C92" s="17" t="n">
        <f aca="false">F92/H92</f>
        <v>0.157894736842105</v>
      </c>
      <c r="D92" s="17" t="n">
        <f aca="false">G92/H92</f>
        <v>0.263157894736842</v>
      </c>
      <c r="E92" s="17" t="n">
        <f aca="false">100%-SUM(C92:D92)</f>
        <v>0.578947368421053</v>
      </c>
      <c r="F92" s="0" t="n">
        <v>9</v>
      </c>
      <c r="G92" s="0" t="n">
        <v>15</v>
      </c>
      <c r="H92" s="0" t="n">
        <v>57</v>
      </c>
    </row>
    <row r="93" customFormat="false" ht="14.4" hidden="false" customHeight="false" outlineLevel="0" collapsed="false">
      <c r="B93" s="0" t="s">
        <v>163</v>
      </c>
      <c r="C93" s="17" t="n">
        <f aca="false">F93/H93</f>
        <v>0.235294117647059</v>
      </c>
      <c r="D93" s="17" t="n">
        <f aca="false">G93/H93</f>
        <v>0.0588235294117647</v>
      </c>
      <c r="E93" s="17" t="n">
        <f aca="false">100%-SUM(C93:D93)</f>
        <v>0.705882352941176</v>
      </c>
      <c r="F93" s="0" t="n">
        <v>4</v>
      </c>
      <c r="G93" s="0" t="n">
        <v>1</v>
      </c>
      <c r="H93" s="0" t="n">
        <v>17</v>
      </c>
    </row>
    <row r="94" customFormat="false" ht="14.4" hidden="false" customHeight="false" outlineLevel="0" collapsed="false">
      <c r="B94" s="0" t="s">
        <v>121</v>
      </c>
      <c r="C94" s="17" t="n">
        <f aca="false">F94/H94</f>
        <v>0.244444444444444</v>
      </c>
      <c r="D94" s="17" t="n">
        <f aca="false">G94/H94</f>
        <v>0.222222222222222</v>
      </c>
      <c r="E94" s="17" t="n">
        <f aca="false">100%-SUM(C94:D94)</f>
        <v>0.533333333333333</v>
      </c>
      <c r="F94" s="0" t="n">
        <v>11</v>
      </c>
      <c r="G94" s="0" t="n">
        <v>10</v>
      </c>
      <c r="H94" s="0" t="n">
        <v>45</v>
      </c>
    </row>
    <row r="95" customFormat="false" ht="14.4" hidden="false" customHeight="false" outlineLevel="0" collapsed="false">
      <c r="C95" s="17"/>
      <c r="D95" s="17"/>
      <c r="E95" s="1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2023-09-25T13:20:41Z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