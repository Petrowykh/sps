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readedComments/threadedComment3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/>
  <bookViews>
    <workbookView xWindow="0" yWindow="0" windowWidth="22992" windowHeight="9144" tabRatio="760"/>
  </bookViews>
  <sheets>
    <sheet name="август 2023" sheetId="60" r:id="rId1"/>
    <sheet name="Ценовой баланс в категориях" sheetId="8" state="hidden" r:id="rId2"/>
    <sheet name="Лист1" sheetId="5" state="hidden" r:id="rId3"/>
  </sheets>
  <definedNames>
    <definedName name="_xlnm._FilterDatabase" localSheetId="0" hidden="1">'август 2023'!$A$2:$K$316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9" i="8" l="1"/>
  <c r="W10" i="8"/>
  <c r="W11" i="8"/>
  <c r="W12" i="8"/>
  <c r="W13" i="8"/>
  <c r="W14" i="8"/>
  <c r="W8" i="8"/>
  <c r="W6" i="8"/>
  <c r="W7" i="8"/>
  <c r="W5" i="8"/>
  <c r="W4" i="8"/>
  <c r="D94" i="5" l="1"/>
  <c r="C94" i="5"/>
  <c r="D93" i="5"/>
  <c r="C93" i="5"/>
  <c r="D92" i="5"/>
  <c r="C92" i="5"/>
  <c r="D91" i="5"/>
  <c r="C91" i="5"/>
  <c r="D90" i="5"/>
  <c r="C90" i="5"/>
  <c r="D89" i="5"/>
  <c r="C89" i="5"/>
  <c r="D88" i="5"/>
  <c r="C88" i="5"/>
  <c r="D87" i="5"/>
  <c r="C87" i="5"/>
  <c r="D86" i="5"/>
  <c r="C86" i="5"/>
  <c r="D85" i="5"/>
  <c r="C85" i="5"/>
  <c r="D80" i="5"/>
  <c r="C80" i="5"/>
  <c r="D79" i="5"/>
  <c r="C79" i="5"/>
  <c r="D78" i="5"/>
  <c r="C78" i="5"/>
  <c r="D77" i="5"/>
  <c r="C77" i="5"/>
  <c r="D76" i="5"/>
  <c r="C76" i="5"/>
  <c r="E76" i="5" s="1"/>
  <c r="D75" i="5"/>
  <c r="C75" i="5"/>
  <c r="D74" i="5"/>
  <c r="C74" i="5"/>
  <c r="D73" i="5"/>
  <c r="C73" i="5"/>
  <c r="E73" i="5" s="1"/>
  <c r="D72" i="5"/>
  <c r="C72" i="5"/>
  <c r="D71" i="5"/>
  <c r="C71" i="5"/>
  <c r="D70" i="5"/>
  <c r="C70" i="5"/>
  <c r="D61" i="5"/>
  <c r="C61" i="5"/>
  <c r="E61" i="5" s="1"/>
  <c r="D60" i="5"/>
  <c r="C60" i="5"/>
  <c r="E60" i="5" s="1"/>
  <c r="D59" i="5"/>
  <c r="C59" i="5"/>
  <c r="D58" i="5"/>
  <c r="C58" i="5"/>
  <c r="D57" i="5"/>
  <c r="C57" i="5"/>
  <c r="E57" i="5" s="1"/>
  <c r="D56" i="5"/>
  <c r="C56" i="5"/>
  <c r="E56" i="5" s="1"/>
  <c r="D55" i="5"/>
  <c r="C55" i="5"/>
  <c r="D54" i="5"/>
  <c r="C54" i="5"/>
  <c r="E54" i="5" s="1"/>
  <c r="D53" i="5"/>
  <c r="C53" i="5"/>
  <c r="D52" i="5"/>
  <c r="C52" i="5"/>
  <c r="E52" i="5" s="1"/>
  <c r="C36" i="5"/>
  <c r="D36" i="5"/>
  <c r="C37" i="5"/>
  <c r="D37" i="5"/>
  <c r="C38" i="5"/>
  <c r="D38" i="5"/>
  <c r="C39" i="5"/>
  <c r="D39" i="5"/>
  <c r="C40" i="5"/>
  <c r="D40" i="5"/>
  <c r="C41" i="5"/>
  <c r="D41" i="5"/>
  <c r="C42" i="5"/>
  <c r="D42" i="5"/>
  <c r="C43" i="5"/>
  <c r="D43" i="5"/>
  <c r="C44" i="5"/>
  <c r="D44" i="5"/>
  <c r="C45" i="5"/>
  <c r="D45" i="5"/>
  <c r="D35" i="5"/>
  <c r="C35" i="5"/>
  <c r="C20" i="5"/>
  <c r="D20" i="5"/>
  <c r="C21" i="5"/>
  <c r="D21" i="5"/>
  <c r="C22" i="5"/>
  <c r="D22" i="5"/>
  <c r="C23" i="5"/>
  <c r="D23" i="5"/>
  <c r="C24" i="5"/>
  <c r="D24" i="5"/>
  <c r="C25" i="5"/>
  <c r="D25" i="5"/>
  <c r="C26" i="5"/>
  <c r="D26" i="5"/>
  <c r="C27" i="5"/>
  <c r="D27" i="5"/>
  <c r="C28" i="5"/>
  <c r="D28" i="5"/>
  <c r="C29" i="5"/>
  <c r="D29" i="5"/>
  <c r="D19" i="5"/>
  <c r="C19" i="5"/>
  <c r="E19" i="5" s="1"/>
  <c r="E77" i="5" l="1"/>
  <c r="E91" i="5"/>
  <c r="E80" i="5"/>
  <c r="E86" i="5"/>
  <c r="E90" i="5"/>
  <c r="E94" i="5"/>
  <c r="E23" i="5"/>
  <c r="E42" i="5"/>
  <c r="E36" i="5"/>
  <c r="E79" i="5"/>
  <c r="E89" i="5"/>
  <c r="E28" i="5"/>
  <c r="E20" i="5"/>
  <c r="E39" i="5"/>
  <c r="E37" i="5"/>
  <c r="E74" i="5"/>
  <c r="E27" i="5"/>
  <c r="E35" i="5"/>
  <c r="E58" i="5"/>
  <c r="E44" i="5"/>
  <c r="E40" i="5"/>
  <c r="E71" i="5"/>
  <c r="E75" i="5"/>
  <c r="E59" i="5"/>
  <c r="E25" i="5"/>
  <c r="E78" i="5"/>
  <c r="E93" i="5"/>
  <c r="E21" i="5"/>
  <c r="E43" i="5"/>
  <c r="E41" i="5"/>
  <c r="E38" i="5"/>
  <c r="E29" i="5"/>
  <c r="E26" i="5"/>
  <c r="E24" i="5"/>
  <c r="E53" i="5"/>
  <c r="E72" i="5"/>
  <c r="E85" i="5"/>
  <c r="E87" i="5"/>
  <c r="E92" i="5"/>
  <c r="E45" i="5"/>
  <c r="E88" i="5"/>
  <c r="E55" i="5"/>
  <c r="E22" i="5"/>
  <c r="E70" i="5"/>
  <c r="S5" i="8"/>
  <c r="S6" i="8"/>
  <c r="S7" i="8"/>
  <c r="S8" i="8"/>
  <c r="S9" i="8"/>
  <c r="S10" i="8"/>
  <c r="S11" i="8"/>
  <c r="S12" i="8"/>
  <c r="S13" i="8"/>
  <c r="S4" i="8"/>
  <c r="K5" i="8"/>
  <c r="K6" i="8"/>
  <c r="K7" i="8"/>
  <c r="K8" i="8"/>
  <c r="K9" i="8"/>
  <c r="K10" i="8"/>
  <c r="K11" i="8"/>
  <c r="K12" i="8"/>
  <c r="K13" i="8"/>
  <c r="K14" i="8"/>
  <c r="K4" i="8"/>
  <c r="O5" i="8"/>
  <c r="O6" i="8"/>
  <c r="O7" i="8"/>
  <c r="O8" i="8"/>
  <c r="O9" i="8"/>
  <c r="O10" i="8"/>
  <c r="O11" i="8"/>
  <c r="O12" i="8"/>
  <c r="O13" i="8"/>
  <c r="O14" i="8"/>
  <c r="O4" i="8"/>
  <c r="C11" i="5" l="1"/>
  <c r="D11" i="5"/>
  <c r="E11" i="5" l="1"/>
  <c r="D9" i="5"/>
  <c r="C9" i="5"/>
  <c r="C3" i="5"/>
  <c r="D3" i="5"/>
  <c r="C4" i="5"/>
  <c r="D4" i="5"/>
  <c r="C5" i="5"/>
  <c r="D5" i="5"/>
  <c r="C6" i="5"/>
  <c r="D6" i="5"/>
  <c r="C7" i="5"/>
  <c r="D7" i="5"/>
  <c r="C8" i="5"/>
  <c r="D8" i="5"/>
  <c r="C10" i="5"/>
  <c r="D10" i="5"/>
  <c r="C12" i="5"/>
  <c r="D12" i="5"/>
  <c r="C13" i="5"/>
  <c r="D13" i="5"/>
  <c r="H14" i="8"/>
  <c r="H5" i="8"/>
  <c r="H6" i="8"/>
  <c r="H7" i="8"/>
  <c r="H8" i="8"/>
  <c r="H9" i="8"/>
  <c r="H11" i="8"/>
  <c r="H13" i="8"/>
  <c r="H4" i="8"/>
  <c r="E7" i="8"/>
  <c r="E8" i="8"/>
  <c r="E9" i="8"/>
  <c r="E11" i="8"/>
  <c r="E13" i="8"/>
  <c r="E14" i="8"/>
  <c r="E6" i="8"/>
  <c r="E5" i="8"/>
  <c r="E4" i="8"/>
  <c r="E13" i="5" l="1"/>
  <c r="E5" i="5"/>
  <c r="E10" i="5"/>
  <c r="E7" i="5"/>
  <c r="E3" i="5"/>
  <c r="E9" i="5"/>
  <c r="E8" i="5"/>
  <c r="E6" i="5"/>
  <c r="E4" i="5"/>
  <c r="E12" i="5"/>
</calcChain>
</file>

<file path=xl/sharedStrings.xml><?xml version="1.0" encoding="utf-8"?>
<sst xmlns="http://schemas.openxmlformats.org/spreadsheetml/2006/main" count="902" uniqueCount="495">
  <si>
    <t>Алкоголь</t>
  </si>
  <si>
    <t>ВЕРМУТ МАРТИНИ БИАНКО 0.5Л</t>
  </si>
  <si>
    <t>ДЖИН КВИНС 0.5Л</t>
  </si>
  <si>
    <t>Бакалея</t>
  </si>
  <si>
    <t>АРАХИС НИКИТИН ЖАР.СОЛ.200Г</t>
  </si>
  <si>
    <t>Бумажно-санитарная продукция</t>
  </si>
  <si>
    <t>Бытовая химия</t>
  </si>
  <si>
    <t>Детское питание</t>
  </si>
  <si>
    <t>Замороженные продукты</t>
  </si>
  <si>
    <t>Здоровое питание</t>
  </si>
  <si>
    <t>Колбасные изделия</t>
  </si>
  <si>
    <t>Консервация</t>
  </si>
  <si>
    <t>Молочная продукция</t>
  </si>
  <si>
    <t>ЙОГУРТ ДВУХСЛ.2% КИВИ/КРЫЖОВНИК СТ.120Г</t>
  </si>
  <si>
    <t>ЙОГУРТ ГРЕЧЕСКИЙ 2% СТ.250Г</t>
  </si>
  <si>
    <t>ДЕТ.ПИТ.ЙОГУРТ 2% КЛУБНИКА/КОНФЕТЫ 103Г</t>
  </si>
  <si>
    <t>Мучные кондитерские изделия</t>
  </si>
  <si>
    <t>ВАФЛИ ЯШКИНО ГЛАЗ.С ОРЕШКАМИ 200Г</t>
  </si>
  <si>
    <t>Напитки, соки, вода</t>
  </si>
  <si>
    <t>КВАС ЛИДСКИЙ ТЕМНЫЙ ПЭТ 1.5Л</t>
  </si>
  <si>
    <t>КВАС ХАТНИ СПРАУНЫ ПЭТ 1.4Л</t>
  </si>
  <si>
    <t>ВОДА МИН.НАБЕГЛАВИ ПЭТ 1Л</t>
  </si>
  <si>
    <t>ВОДА ПИТ.БОНАКВА ПЛЮС СР/ГАЗ.1.5Л</t>
  </si>
  <si>
    <t>Парфюмерно-косметические товары</t>
  </si>
  <si>
    <t>Рыба, продукты из рыбы</t>
  </si>
  <si>
    <t>Сахарные кондитерские изделия</t>
  </si>
  <si>
    <t>ДРАЖЕ М ЭНД М АРАХИС 45Г</t>
  </si>
  <si>
    <t>ДРАЖЕ СКИТЛС ФРУКТЫ 38Г</t>
  </si>
  <si>
    <t>БАТОНЧИК ШОК.БАУНТИ 55Г</t>
  </si>
  <si>
    <t>Электротовары</t>
  </si>
  <si>
    <t>Категория</t>
  </si>
  <si>
    <t>Штрих_код</t>
  </si>
  <si>
    <t>Товар</t>
  </si>
  <si>
    <t>Евроопт</t>
  </si>
  <si>
    <t>Рублевский</t>
  </si>
  <si>
    <t>Виталюр</t>
  </si>
  <si>
    <t>Корона</t>
  </si>
  <si>
    <t>Гиппо</t>
  </si>
  <si>
    <t>Соседи</t>
  </si>
  <si>
    <t>Средняя</t>
  </si>
  <si>
    <t>*1,99</t>
  </si>
  <si>
    <t>*2,79</t>
  </si>
  <si>
    <t>*2,99</t>
  </si>
  <si>
    <t>*3,39</t>
  </si>
  <si>
    <t>*0,99</t>
  </si>
  <si>
    <t>*1,39</t>
  </si>
  <si>
    <t>*1,59</t>
  </si>
  <si>
    <t>*1,49</t>
  </si>
  <si>
    <t>*1,19</t>
  </si>
  <si>
    <t>*1,69</t>
  </si>
  <si>
    <t>*0,79</t>
  </si>
  <si>
    <t>*2,59</t>
  </si>
  <si>
    <t>*1,29</t>
  </si>
  <si>
    <t>Всего</t>
  </si>
  <si>
    <t>Красный</t>
  </si>
  <si>
    <t>Зеленый</t>
  </si>
  <si>
    <t>Высокие</t>
  </si>
  <si>
    <t>Низкие</t>
  </si>
  <si>
    <t>Средние</t>
  </si>
  <si>
    <t>Рубль</t>
  </si>
  <si>
    <t xml:space="preserve">Алкоголь </t>
  </si>
  <si>
    <t>Консервация (17)</t>
  </si>
  <si>
    <t>Сахарные кондитерские изделия (45)</t>
  </si>
  <si>
    <t>Европ</t>
  </si>
  <si>
    <t>Алкоголь (145)</t>
  </si>
  <si>
    <t>Бакалея (68)</t>
  </si>
  <si>
    <t>Колбасные изделия (22)</t>
  </si>
  <si>
    <t>Консервация (12)</t>
  </si>
  <si>
    <t>Напитки , соки, вода (58)</t>
  </si>
  <si>
    <t>Сахарные кондитерские изделия (50)</t>
  </si>
  <si>
    <t>Бакалея (65)</t>
  </si>
  <si>
    <t>Консервация (11)</t>
  </si>
  <si>
    <t>Молочная продукция (111)</t>
  </si>
  <si>
    <t>Напитки , соки, вода (56)</t>
  </si>
  <si>
    <t>Сахарные кондитерские изделия (42)</t>
  </si>
  <si>
    <t>Евро</t>
  </si>
  <si>
    <t>Вит</t>
  </si>
  <si>
    <t xml:space="preserve">Бакалея </t>
  </si>
  <si>
    <t xml:space="preserve">Колбасные изделия </t>
  </si>
  <si>
    <t xml:space="preserve">Консервация </t>
  </si>
  <si>
    <t xml:space="preserve">Молочная продукция </t>
  </si>
  <si>
    <t xml:space="preserve">Напитки , соки, вода </t>
  </si>
  <si>
    <t xml:space="preserve">Сахарные кондитерские изделия </t>
  </si>
  <si>
    <t xml:space="preserve">Хлеб и хлебобулочные изделия </t>
  </si>
  <si>
    <t>Баланс Евро</t>
  </si>
  <si>
    <t>Баланс Вит</t>
  </si>
  <si>
    <t>Мучные кондитерские изделия (14)</t>
  </si>
  <si>
    <t>Мучные кондитерские изделия (16)</t>
  </si>
  <si>
    <t>Мучные кондитерские изделия (11)</t>
  </si>
  <si>
    <t>Рыба, продукты из рыбы (11)</t>
  </si>
  <si>
    <t>Баланс Рублевский</t>
  </si>
  <si>
    <t>Бакалея (72)</t>
  </si>
  <si>
    <t>Колбасные изделия (29)</t>
  </si>
  <si>
    <t>Молочная продукция (129)</t>
  </si>
  <si>
    <t>Напитки , соки, вода (57)</t>
  </si>
  <si>
    <t>Сахарные кондитерские изделия (46)</t>
  </si>
  <si>
    <t>Бакалея (71)</t>
  </si>
  <si>
    <t>Мучные кондитерские изделия (15)</t>
  </si>
  <si>
    <t>корона</t>
  </si>
  <si>
    <t>Баланс корона</t>
  </si>
  <si>
    <t>гиппо</t>
  </si>
  <si>
    <t>Баланс Гиппо</t>
  </si>
  <si>
    <t>Замороженные продукты (40)</t>
  </si>
  <si>
    <t>Замороженные продукты (26)</t>
  </si>
  <si>
    <t>Замороженные продукты (22)</t>
  </si>
  <si>
    <t>Замороженные продукты (44)</t>
  </si>
  <si>
    <t>Алкоголь (179)</t>
  </si>
  <si>
    <t>Бакалея (88)</t>
  </si>
  <si>
    <t>Замороженные продукты (50)</t>
  </si>
  <si>
    <t>Колбасные изделия (19)</t>
  </si>
  <si>
    <t>Колбасные изделия (30)</t>
  </si>
  <si>
    <t>Молочная продукция (159)</t>
  </si>
  <si>
    <t>Мучные кондитерские изделия (13)</t>
  </si>
  <si>
    <t>Рыба, продукты из рыбы (14)</t>
  </si>
  <si>
    <t>Рыба, продукты из рыбы (13)</t>
  </si>
  <si>
    <t>Хлеб и хлебобулочные изделия (17)</t>
  </si>
  <si>
    <t>Сахарные кондитерские изделия (54)</t>
  </si>
  <si>
    <t>Колбасные изделия (43)</t>
  </si>
  <si>
    <t>Консервация (24)</t>
  </si>
  <si>
    <t>Молочная продукция (178)</t>
  </si>
  <si>
    <t>Мучные кондитерские изделия (18)</t>
  </si>
  <si>
    <t>Напитки , соки, вода (66)</t>
  </si>
  <si>
    <t>Рыба, продукты из рыбы (18)</t>
  </si>
  <si>
    <t>Хлеб и хлебобулочные изделия (20)</t>
  </si>
  <si>
    <t>Алкоголь (128)</t>
  </si>
  <si>
    <t>Замороженные продукты (42)</t>
  </si>
  <si>
    <t>Консервация (15)</t>
  </si>
  <si>
    <t>Напитки , соки, вода (63)</t>
  </si>
  <si>
    <t>Хлеб и хлебобулочные изделия (15)</t>
  </si>
  <si>
    <t>Молочная продукция (142)</t>
  </si>
  <si>
    <t>Алкоголь (107)</t>
  </si>
  <si>
    <t>Рыба, продукты из рыбы (10)</t>
  </si>
  <si>
    <t>Алкоголь (157)</t>
  </si>
  <si>
    <t>Колбасные изделия (28)</t>
  </si>
  <si>
    <t>Алкоголь (140)</t>
  </si>
  <si>
    <t>Молочная продукция (138)</t>
  </si>
  <si>
    <t>Рыба, продукты из рыбы (17)</t>
  </si>
  <si>
    <t>баланс</t>
  </si>
  <si>
    <t>Среднее</t>
  </si>
  <si>
    <t>БАТАРЕЙКИ ДЮРАСЕЛЛ БЕЙС.AA 1.5V LR6 4ШТ</t>
  </si>
  <si>
    <t>БАТОНЧИК-МЮСЛИ ЗЛАКИ КЛЮКВА 35Г</t>
  </si>
  <si>
    <t>ВАФЛИ СПАРТАК ЧЕРНОМОРСКИЕ ФЛОУ-ПАК 216Г</t>
  </si>
  <si>
    <t>ДЕТ.ПИТ.ЙОГУРТ 2% ВАНИЛЬ/КОНФЕТЫ 103Г</t>
  </si>
  <si>
    <t>ИКРА ЛОСОСЕВАЯ СТОЛЬНАЯ 230Г</t>
  </si>
  <si>
    <t>ЙОГУРТ ГРЕЧ.2% ЗЛАКИ/КЛЕТЧ.ЛЬНА 250Г</t>
  </si>
  <si>
    <t>КЕТЧУП МР.РИККО ПОМОДОРО ТОМАТ.Д/П 350Г</t>
  </si>
  <si>
    <t>КОЛБАСА ВАР.ДОКТОРСКАЯ ПО-ВОЛКОВ.В/С 1КГ</t>
  </si>
  <si>
    <t>*2,69</t>
  </si>
  <si>
    <t>*2,19</t>
  </si>
  <si>
    <t>*2,49</t>
  </si>
  <si>
    <t>*6,99</t>
  </si>
  <si>
    <t>*4,49</t>
  </si>
  <si>
    <t>*1,45</t>
  </si>
  <si>
    <t>*1,09</t>
  </si>
  <si>
    <t>*1,25</t>
  </si>
  <si>
    <t>*3,29</t>
  </si>
  <si>
    <t>*3,49</t>
  </si>
  <si>
    <t>*1,35</t>
  </si>
  <si>
    <t>*4,99</t>
  </si>
  <si>
    <t>*4,59</t>
  </si>
  <si>
    <t>*8,99</t>
  </si>
  <si>
    <t>*3,79</t>
  </si>
  <si>
    <t>ВИНО МОЯ ЛЮБИМАЯ ЖЕНЩИНА БЕЛ.П/СЛ.0.7Л</t>
  </si>
  <si>
    <t>АРАХИС ОТ МАРТИНА ЖАР.С СОЛЬЮ 100Г</t>
  </si>
  <si>
    <t>ГЕЛЬ Д/СТИР.DER WASCHKONIG УНИВЕРС.1.625</t>
  </si>
  <si>
    <t>ВАРЕНЬЕ МР.РИККО МАЛИНОВОЕ 400Г</t>
  </si>
  <si>
    <t>БИОКЕФИР ЗДРАВУШКА 1% ПЭТ/БУТ 930Г</t>
  </si>
  <si>
    <t>ВОДА МИН.БОРЖОМИ 1.25Л</t>
  </si>
  <si>
    <t>ВОДА МИН.МИНСКАЯ-4 1Л</t>
  </si>
  <si>
    <t>ВОДА ПИТ.АУРА Н/ГАЗ.ПЭТ 5Л</t>
  </si>
  <si>
    <t>КВАС ЛИДСКИЙ ХЛЕБНЫЙ ПЭТ 1Л</t>
  </si>
  <si>
    <t>БАТОНЧИК ШОК.ТВИКС ЭКСТРА 82Г</t>
  </si>
  <si>
    <t>Артикул в Metacommerce</t>
  </si>
  <si>
    <t>КВАС АЛИВАРСКИЙ ДАРК САЙД 1.5Л</t>
  </si>
  <si>
    <t>ВИНО МЕРЛО КР.СУХ.1Л</t>
  </si>
  <si>
    <t>ВИНО КАСТ.КЮВЕ ДЕ ПРИНЦЕС КР.СУХ.0.75Л</t>
  </si>
  <si>
    <t>ВОДА МИН ГАЗ.БОРЖОМИ ПЭТ 1Л</t>
  </si>
  <si>
    <t>ВОДА МИН.БОРЖОМИ СТ/Б 0.5Л</t>
  </si>
  <si>
    <t>ВОДКА СВАЯК СТАНДАРТ СУВ.0.5Л</t>
  </si>
  <si>
    <t>ГОРОХ КОЛОТЫЙ ЭКОЛАЙН ФАС.900Г</t>
  </si>
  <si>
    <t>ДЕТ.ПИТ.СМЕСЬ БЕЛЛАКТ ПРЕМИУМ 1 400Г</t>
  </si>
  <si>
    <t>БАТОНЧИК ШОК.СНИКЕРС АРАХ/НУГА/КАР.50.5Г</t>
  </si>
  <si>
    <t>Хлеб и хлебобулочные изделия поставщиков</t>
  </si>
  <si>
    <t>КОЛБАСА ВАР.ГРОДНЕН.С ТЕЛЯТИНОЙ В/С 1КГ</t>
  </si>
  <si>
    <t>ЙОГУРТ ДАНИССИМО ФАНТ.6.9% ШАР/ЯГ.105Г</t>
  </si>
  <si>
    <t>БИОЙОГ.АКТИВИА 2.2% АН/БАН/БАЗ/КУР.140Г</t>
  </si>
  <si>
    <t>БИОЙОГ.АКТИВИА 2.2% КИВ/ЯБЛ/ЧИА 140Г</t>
  </si>
  <si>
    <t>КЕФИР 3.6% БУТ.900Г</t>
  </si>
  <si>
    <t>*18,99</t>
  </si>
  <si>
    <t>*14,99</t>
  </si>
  <si>
    <t>Санта</t>
  </si>
  <si>
    <t>БАТОНЧИК ШОК.СНИКЕРС АРАХ/КАРАМ.НУГА 80Г</t>
  </si>
  <si>
    <t>ВИНО КАМПУЛЕС.ЛА ПЕЛИРР.РОЗ.П/СУХ.0.75Л</t>
  </si>
  <si>
    <t>ВОДА ПИТ.ДЕТ.СВЯТ.ИСТОЧНИК СПОРТИК 0.33Л</t>
  </si>
  <si>
    <t>Мучные изделия</t>
  </si>
  <si>
    <t>КОЛБАСА ВАР.ОСТАНКИНС.ПО-ВОЛКОВ.В/С 1КГ</t>
  </si>
  <si>
    <t>КОЛБАСА ВАР.МОЛОЧ.ПО-ВОЛК.ГРАНД В/С 1КГ</t>
  </si>
  <si>
    <t>КОЛБАСА ВАР.МОРТАД.ПО-ВОЛК.КЛАС.В/С 1КГ</t>
  </si>
  <si>
    <t>КАПУСТА МОР.БАЛАНС МАРИН.500Г</t>
  </si>
  <si>
    <t>ВИНО ФОЛОНАРИ ВЕРОНА БЕЛ.П/СУХ.12% 0.75Л</t>
  </si>
  <si>
    <t>ВИНО ФОЛОНАРИ ВЕРОНА КР.П/СУХ.12% 0.75Л</t>
  </si>
  <si>
    <t>ВИНО ЕРЕТИ КИНДЗМАР.КР.П/СЛ.9-13% 0.75Л</t>
  </si>
  <si>
    <t>ВИНО КАМПУЛЕС ЭЛЬ МОР.КР.П/СУХ.13% 0.75Л</t>
  </si>
  <si>
    <t>ВИНО Ж.П.ШЕНЕ КОЛ.П/СУХ.11.5-13% 0.75Л</t>
  </si>
  <si>
    <t>ВИНО КАМПУЛЕС ЛА РУБ.БЕЛ.П/СУХ.12% 0.75Л</t>
  </si>
  <si>
    <t>ВИНО Ж.П.ШЕНЕ КАБ-СИРА П/СУХ.12-13%0.75Л</t>
  </si>
  <si>
    <t>ВИНО ПАСКУА САНДЖ АПУЛ.КР.П/СУХ.12%0.75Л</t>
  </si>
  <si>
    <t>ВИНО ГАЗ.ЧИН-ЧИН 11.6% БЕЛ.П/СЛ.0.75Л</t>
  </si>
  <si>
    <t>ВИНО ГАЗ.ЧИН-ЧИН МУСКАТ 11.3% П/СЛ.0.75Л</t>
  </si>
  <si>
    <t>ВИСКИ ДЖЕЙМСОН 40% 0.7Л</t>
  </si>
  <si>
    <t>ВИСКИ БАЛЛАНТАЙНС ФАЙНЕСТ 40% 0.5Л</t>
  </si>
  <si>
    <t>ВИСКИ БАЛЛАНТАЙНС ФАЙНЕСТ 40% 0.7Л</t>
  </si>
  <si>
    <t>ВИСКИ ПАСПОРТ СКОТЧ 40% 0.7Л</t>
  </si>
  <si>
    <t>ВИСКИ АМБЕР ХИЛЗ 43% 0.5Л</t>
  </si>
  <si>
    <t>ВОДА ПИТ.ДАРИДА Н/ГАЗ.5.55Л</t>
  </si>
  <si>
    <t>КАША Б/ПР.БЫСТРОВ ОВСЯНАЯ КЛУБН/МОЛ.40Г</t>
  </si>
  <si>
    <t>БРЕНДИ КРИСТАЛЛ ЛЮКС 40% 0.5Л</t>
  </si>
  <si>
    <t>ЙОГУРТ ГРЕЧЕСКИЙ ТЕОС 5% 250Г</t>
  </si>
  <si>
    <t>ЙОГУРТ ГРЕЧ.2% ЧЕРНИКА П/СТ 250Г</t>
  </si>
  <si>
    <t>БИОНАПИТОК К/М АКТИВИЛ 2.0% ЛЕСН.ЯГ.500Г</t>
  </si>
  <si>
    <t>БИОНАПИТОК К/М АКТИВИЛ 2.0% ПЕРСИК 500Г</t>
  </si>
  <si>
    <t>БИОНАПИТОК К/М АКТИВИЛ 2.0% БАНАН 500Г</t>
  </si>
  <si>
    <t>ЙОГУРТ БИФ.2% 415Г</t>
  </si>
  <si>
    <t>ЙОГУРТ БАЛ.ПОЛЬЗА 2% ВИШН/ЧЕРЕШНЯ 415Г</t>
  </si>
  <si>
    <t>ЙОГУРТ ДЕТ.ЛЕСНАЯ ЯГОДА 2.6% 210Г</t>
  </si>
  <si>
    <t>ЙОГУРТ ДЕТ.КЛУБНИКА-БАНАН 2.6% 210Г</t>
  </si>
  <si>
    <t>ЙОГУРТ ГРЕЧ.ТЕОС 2.0% ГРЕЦ.ОРЕХ/МЕД 250Г</t>
  </si>
  <si>
    <t>ЙОГУРТ ДЕТ.2.6% ЯБЛОКО-МАЛИНА 210Г</t>
  </si>
  <si>
    <t>ЙОГУРТ БАЛ.ПОЛЬЗА 2% ЛЕСН.ЯГОДА ПЭТ 415Г</t>
  </si>
  <si>
    <t>ЙОГУРТ САВУШКИН ДВУХСЛ.2% МАНГО СТ.120Г</t>
  </si>
  <si>
    <t>БИОЙОГУРТ АКТИВИА 2.1% ЧЕРН/ЗЛ/СЕМ.260Г</t>
  </si>
  <si>
    <t>КЕФИР СВЕЖИЕ НОВОСТИ 2.5% ПЭТ 900МЛ</t>
  </si>
  <si>
    <t>КЕФИР БРЕСТ-ЛИТОВСК 3.2% ПЭТ 950МЛ</t>
  </si>
  <si>
    <t>КЕФИР 3.2% ПЭТ 930МЛ</t>
  </si>
  <si>
    <t>КЕФИР СТАР.РЕЦ.1.5% ОГУРЕЦ/УКРОП 415МЛ</t>
  </si>
  <si>
    <t>ДЖЕМ МАХЕЕВЪ ЛИМОН С ИМБИРЕМ Д/ПАК 300Г</t>
  </si>
  <si>
    <t>5000394115996, 5000394116085</t>
  </si>
  <si>
    <t>4260418930405,4260418930399,4260418930382</t>
  </si>
  <si>
    <t>БАЛЫЧОК СЛОНИМСКИЙ К/В 1КГ</t>
  </si>
  <si>
    <t>БАЛЬЗАМ ЧЕРНЫЙ РЫЦАРЬ 40% 0.2Л</t>
  </si>
  <si>
    <t>БАЛЬЗАМ ЧЕРНЫЙ РЫЦАРЬ 40% 0.5Л</t>
  </si>
  <si>
    <t>БАТОН ДЛЯ ВАШЕЙ СЕМЬИ В/С УПАК.НАР.500Г</t>
  </si>
  <si>
    <t>БАТОНЧИК ВАФ.ВИТЬБА 35Г</t>
  </si>
  <si>
    <t>БИОЙОГУРТ АКТИВИА 2% МАНГ/ПАП/МАРАК.140Г</t>
  </si>
  <si>
    <t>БИОЙОГУРТ АКТИВИЯ 2% ВИШ/ЕЖ/ЧИА/БАЗ.140Г</t>
  </si>
  <si>
    <t>БИОНАПИТОК К/М АКТИВИЛ 2.0% КЛУБН.500Г</t>
  </si>
  <si>
    <t>БИОНАПИТОК К/М АКТИВИЛ 2.0% МАЛИНА 500Г</t>
  </si>
  <si>
    <t>БИОПРОД.К/М БИФИТАТ 2.5% 500Г</t>
  </si>
  <si>
    <t>БУЛЬОН ГБ КУРИНЫЙ 8*10Г</t>
  </si>
  <si>
    <t>ВАФЛИ ВИТОША ВК.ШОКОЛАДА 143Г</t>
  </si>
  <si>
    <t xml:space="preserve">ВАФЛИ НЯМ-НЯМКА ВК.ШОКОЛАДА 200Г </t>
  </si>
  <si>
    <t>ВАФЛИ СПАРТАК ЧЕРНОМОРСКИЕ 72Г</t>
  </si>
  <si>
    <t>ВИНО АРТА ВИНИЯ ШАРДОНЕ БЕЛ.П/СЛ.0.7Л</t>
  </si>
  <si>
    <t>ВИНО БЕЛАЯ КОРОЛЕВА БЕЛ.П/СУХ.1Л</t>
  </si>
  <si>
    <t>ВИНО ГАЗ.БАРОН ДЕ АРИН.БЕЛ.П/СУХ.11%0.75</t>
  </si>
  <si>
    <t>ВИНО Ж.П.ШЕНЕ МЕД.БЕЛ.П/СЛ.10-13% 0.75Л</t>
  </si>
  <si>
    <t>ВИНО Ж.П.ШЕНЕ МЕД.КР.П/СЛ.10-13% 0.75Л</t>
  </si>
  <si>
    <t>ВИНО ИГР.ПРОСЕККО ДОС БЕЛ.БРЮТ 11% 0.75Л</t>
  </si>
  <si>
    <t>ВИНО КАСТ.КЮВЕ ДЕ ПРИНЦЕС БЕЛ.СУХ.0.75Л</t>
  </si>
  <si>
    <t>ВИНО КРУЖЕВА МЕРЛО КР.П/СЛ.0.75Л</t>
  </si>
  <si>
    <t>ВИНО КРУЖЕВА ШАРДОНЕ БЕЛ.П/СЛ.0.75Л</t>
  </si>
  <si>
    <t>ВИНО ЛЕГРАНД КАБ.СОВ.КР.СУХ.11.25%0.75Л</t>
  </si>
  <si>
    <t>ВИНО ЛОРЕНЦО 11.5% БЕЛ.СУХ.0.75Л</t>
  </si>
  <si>
    <t>ВИНО ЛОРЕНЦО 11.5% КР.СУХ.0.75Л</t>
  </si>
  <si>
    <t>ВИНО ЛОС МОЛИНОС ВЕРД.БЕЛ.СУХ.12% 0.75Л</t>
  </si>
  <si>
    <t>ВИНО ЛОС МОЛИНОС ТЕМП.КР.СУХ.12.5% 0.75Л</t>
  </si>
  <si>
    <t>ВИНО НОК НОК БЕЛ.П/СУХ.12.5% 0.75Л</t>
  </si>
  <si>
    <t>ВИНО НОК НОК КР.П/СУХ.12.5% 0.75Л</t>
  </si>
  <si>
    <t>ВИНО ОЛД БАТ.КРАСН.П/СЛ.САПЕР.13% 0.75Л</t>
  </si>
  <si>
    <t>ВИНО ПЛОД.ВЕРМУТ КРИСТАЛЛ 18% 0.7Л</t>
  </si>
  <si>
    <t>ВИНО ПЛОД.КИРМАШ 18% 0.5Л</t>
  </si>
  <si>
    <t>ВИНО САНДЖОВЕЗЕ РУБИКОН КР.СУХ.0.75Л</t>
  </si>
  <si>
    <t>ВИНО САПЕРАВИ КР.СУХ.0.7Л</t>
  </si>
  <si>
    <t>ВИНО САПЕРАВИ ОЛД БАТУР КР.П/СЛ.9-13% 1Л</t>
  </si>
  <si>
    <t>ВИНО СИМФОНИЯ БЕЛ.СУХ.0.75Л</t>
  </si>
  <si>
    <t>ВИНО СТ.ТБИЛИСИ АЛАВ.БЕЛ.П/СУХ.12% 0.75Л</t>
  </si>
  <si>
    <t>ВИНО СТ.ТБИЛИСИ АЛАВ.КР.П/СУХ.12% 0.75Л</t>
  </si>
  <si>
    <t>ВИНО СТ.ТБИЛИСИ АЛАЗ.БЕЛ.П/СЛ.12% 0.75Л</t>
  </si>
  <si>
    <t>ВИНО СТ.ТБИЛИСИ АЛАЗ.КР.П/СЛ.12% 0.75Л</t>
  </si>
  <si>
    <t>ВИНО СТАРАЯ КЕЛЬЯ КР.П/СЛ.0.7Л</t>
  </si>
  <si>
    <t>ВИНО ТЕМПРАНИЛЬО КР.СУХ.0.75Л</t>
  </si>
  <si>
    <t>ВИНО ТРЕББЬЯНО РУБИКОН БЕЛ.СУХ.0.75Л</t>
  </si>
  <si>
    <t>ВИНО ФАУСТ.ТЕМПРАН.КР.СУХ.10-13% 0.75Л</t>
  </si>
  <si>
    <t>ВИНО ФАУСТИНО МАКАБ.БЕЛ.СУХ.10-13% 0.75Л</t>
  </si>
  <si>
    <t>ВИНО ФОЛОН.ПИНО ГРИД.БЕЛ.П/СУХ.12% 0.75Л</t>
  </si>
  <si>
    <t>ВИНО ФРЕСКЕЛЛО 10% БЕЛ.БРЮТ 0.75Л</t>
  </si>
  <si>
    <t>ВИНО ФРЕСЧЕЛЛО БЕЛ.П/СЛ.0.75Л</t>
  </si>
  <si>
    <t>ВИНО ФРЕСЧЕЛЛО БЕЛ.П/СУХ.0.75Л</t>
  </si>
  <si>
    <t>ВИНО ФРЕСЧЕЛЛО КР.П/СЛ.0.75Л</t>
  </si>
  <si>
    <t>ВИНО ФРЕСЧЕЛЛО КР.П/СУХ.0.75Л</t>
  </si>
  <si>
    <t>ВИНО ФРЕСЧЕЛЛО РОЗ.П/СУХ.0.75Л</t>
  </si>
  <si>
    <t>ВИНО ФРОНТЕРА СОВ.БЛ.БЕЛ.СУХ.11-14%0.75Л</t>
  </si>
  <si>
    <t>ВИНО ФР-ЯГ.БАТЬКОВСКОЕ 11% 0.7Л</t>
  </si>
  <si>
    <t>ВИНО ХАНС БАЕР РЕСЛ.БЕЛ.СУХ.11-12% 0.75Л</t>
  </si>
  <si>
    <t>ВИНО ШАРДОНЕ АРТ ВИНА БЕЛ.П/СЛ.9-13% 1Л</t>
  </si>
  <si>
    <t>ВИНО ЭЛЬ КОНСЬЕРТО БЕЛ.СУХ.11% 0.75Л</t>
  </si>
  <si>
    <t>ВИНО ЭЛЬ КОНСЬЕРТО КР.СУХ.12% 0.75Л</t>
  </si>
  <si>
    <t>ВИСКИ ДЖИМ БИМ УАЙТ 0.5Л</t>
  </si>
  <si>
    <t>ВИСКИ КЛАН МАКГРЕГОР 0.5Л</t>
  </si>
  <si>
    <t>ВИСКИ ПАСПОРТ СКОТЧ 40% 0.5Л</t>
  </si>
  <si>
    <t>ВОДА МИН.ДАРИДА ГАЗ.1Л</t>
  </si>
  <si>
    <t>ВОДА МИН.НАРЗАН 1.8Л</t>
  </si>
  <si>
    <t>ВОДА ПИТ.БОНАКВА Н/ГАЗ.ПЭТ 2Л</t>
  </si>
  <si>
    <t>ВОДА ПИТ.БОНАКВА ПЛЮС СР/ГАЗ.1Л</t>
  </si>
  <si>
    <t>ВОДА ПИТ.ДАРИДА Н/ГАЗ.1.5Л</t>
  </si>
  <si>
    <t>ВОДА ПИТ.ДАРИДА Н/ГАЗ.2.5Л</t>
  </si>
  <si>
    <t>ВОДА ПИТ.ДАРИДА ЮР ВОТЕР Н/ГАЗ.1Л</t>
  </si>
  <si>
    <t>ВОДА ПИТ.СВЯТОЙ ИСТОЧНИК ГАЗ.ПЭТ 1.5Л</t>
  </si>
  <si>
    <t>ВОДА ПИТ.СВЯТОЙ ИСТОЧНИК Н/ГАЗ.ПЭТ 1.5Л</t>
  </si>
  <si>
    <t>ВОДКА 1858 ГУБЕРНСКАЯ ОСОБ.40% 0.5Л</t>
  </si>
  <si>
    <t>ВОДКА БУЛЬБАШЪ БЕРЕЗ.ЛИСТОЧКИ 40% 0.7Л</t>
  </si>
  <si>
    <t>ВОДКА ОСОБ.НАЛИБОКИ БЯРОЗ.ПУПЫШ.СУВ.0.2Л</t>
  </si>
  <si>
    <t>ВОДКА ОСОБАЯ СОТКА СУВ.40% 0.35Л</t>
  </si>
  <si>
    <t>ВОДКА СВАЯК СТАНДАРТ 0.7Л</t>
  </si>
  <si>
    <t>ВОДКА СТОЛЬГРАДНАЯ 0.7Л</t>
  </si>
  <si>
    <t>ВОДКА СТОЛЬГРАДНАЯ 40% 0.5Л</t>
  </si>
  <si>
    <t>ВОДКА СТОЛЬГРАДНАЯ ФЛЯГА 40% 0.2Л</t>
  </si>
  <si>
    <t>ВОДКА ХЛЕБНОЕ ВИНО ОСОБАЯ 40% 0.5Л</t>
  </si>
  <si>
    <t>ГЕЛЬ Д/СТИР.АРИЭЛЬ КАПС.КОЛОР 12*23.8Г</t>
  </si>
  <si>
    <t>ГОРОШЕК ЗЕЛ.НЕЖНЫЙ ГЛОБУС Ж/Б 400Г</t>
  </si>
  <si>
    <t>ГОРЧИЦА АВС БОЯРСКАЯ СТ/Б 160Г</t>
  </si>
  <si>
    <t>ГРУДИНКА БРЕСТСКАЯ К/В В/У МАЛ.КУС.1КГ</t>
  </si>
  <si>
    <t>ДЕСЕРТ ТВОР.СНЕЖОК 7% С МАК/ЖЕЛ.ВАК.400Г</t>
  </si>
  <si>
    <t>ДЕТ.ПИТ.КОНС.ГОВ.СОЧНАЯ Ж/Б 100Г</t>
  </si>
  <si>
    <t>ДЕТ.ПИТ.НЕКТАР СОЧНЫЙ МУЛЬТИФР.0.2Л</t>
  </si>
  <si>
    <t>ДЕТ.ПИТ.ПЮРЕ БАМБОЛИНА ЯБЛОКО/БАНАН 90Г</t>
  </si>
  <si>
    <t>ДЕТ.ПИТ.ПЮРЕ БЕЛЛАКТ ФР/ЯГ.КОКТЕЙЛЬ 90Г</t>
  </si>
  <si>
    <t>ДЕТ.ПИТ.ПЮРЕ ТОПТЫШКА ЧЕРНОСЛИВ 90Г</t>
  </si>
  <si>
    <t>ДЕТ.ПИТ.ПЮРЕ ТОПТЫШКА ЯБЛ/СЛИВКИ 190Г</t>
  </si>
  <si>
    <t>ДЕТ.ПИТ.СОК АГУША ЯБЛ/ШИПОВН.С/М 200МЛ</t>
  </si>
  <si>
    <t>ДРАЖЕ М ЭНД М ШОКОЛАД 45Г</t>
  </si>
  <si>
    <t>ЖЕЛАТИН МОЖЕЛИТ ПИЩЕВОЙ 50Г</t>
  </si>
  <si>
    <t>ЖЕЛЕ ВЕНСКИЙ ЗАВТРАК 12% АР.ШОК.СТ.140Г</t>
  </si>
  <si>
    <t>ЖЕЛЕ СМЕТ.ВЕНСКИЙ ЗАВТРАК 15%ВАНИЛЬ 140Г</t>
  </si>
  <si>
    <t>ЗАВТРАК ГОТ.НЕСКВИК ШОКОЛАД 500Г</t>
  </si>
  <si>
    <t>ЗЕФИР В ШОК.ПЕРВЫЙ БОБРУЙСКИЙ 230Г</t>
  </si>
  <si>
    <t>ЗЕФИР ЕЖИК ГЛАЗИРОВАННЫЙ 500Г</t>
  </si>
  <si>
    <t>ЗЕФИР ЛЕФИРЭЛЬ ВКУС ПЛОМБИРА 230Г</t>
  </si>
  <si>
    <t>ЗЕФИР ПЕРВЫЙ БОБРУЙСКИЙ БЕЛО-РОЗ.250Г</t>
  </si>
  <si>
    <t>ЗЕФИР ПЕРВЫЙ БОБРУЙСКИЙ ВАНИЛЬНЫЙ 250Г</t>
  </si>
  <si>
    <t>ИКРА ТРЕСКИ ДЕЛИКАТ.ЛЮКС 130Г</t>
  </si>
  <si>
    <t>ЙОГУРТ БАЛ.ПОЛЬЗА 2% АНАНАС/ДЫНЯ ПЭТ 415</t>
  </si>
  <si>
    <t>ЙОГУРТ ГРЕЧ.ТЕОС 2% МАНГО-ЧИА 140Г</t>
  </si>
  <si>
    <t>ЙОГУРТ ГРЕЧ.ТЕОС 2.0% ГРЕЦ.ОРЕХ/МЕД 140Г</t>
  </si>
  <si>
    <t>ЙОГУРТ ГРЕЧЕСКИЙ 2% ВИШНЯ 140Г</t>
  </si>
  <si>
    <t>ЙОГУРТ ГРЕЧЕСКИЙ 2% ЗЛ/КЛ.ЛЬНА СТ.140Г</t>
  </si>
  <si>
    <t>ЙОГУРТ ГРЕЧЕСКИЙ 2% КЛУБНИКА 140Г</t>
  </si>
  <si>
    <t>ЙОГУРТ ГРЕЧЕСКИЙ 2% ЧЕРНИКА 140Г</t>
  </si>
  <si>
    <t>ЙОГУРТ ДАНИС.ФАН.6.9% ВИШ/ФИН/ШАР 105Г</t>
  </si>
  <si>
    <t>ЙОГУРТ ДАНИССИМО ФАНТАЗИЯ 6.9% АБР.105Г</t>
  </si>
  <si>
    <t>ЙОГУРТ ДВУХСЛ.2% ВИШ/ЧЕРН.СМОР.СТ.120Г</t>
  </si>
  <si>
    <t>ЙОГУРТ ПИТ.СУПЕРКИД 2 % ПЛОМБ/МАРШМ.103Г</t>
  </si>
  <si>
    <t>ЙОГУРТ ТЕОС 2% ЧЕРНОСЛИВ/ЗЛАКИ 140Г</t>
  </si>
  <si>
    <t>КАКАО ПОРОШОК КОММУНАРКА 150Г</t>
  </si>
  <si>
    <t>КАПУСТА МОРСКАЯ МАРИНОВАННАЯ ПАК.350Г</t>
  </si>
  <si>
    <t>КАША Б/ПР БЫСТРОВ ОВС.АССОРТИ 240Г</t>
  </si>
  <si>
    <t>КАША ОВСЯНАЯ С АБРИКОСОМ 500Г</t>
  </si>
  <si>
    <t>КВАС АЛИВАРСКИ ПЭТ.1.5Л</t>
  </si>
  <si>
    <t>КВАС ХАТНИ СПРАУНЫ ПЭТ 1.9Л</t>
  </si>
  <si>
    <t>КВАС ХАТНИ ТЕМНЫЙ ПЭТ 1.4Л</t>
  </si>
  <si>
    <t>КЕТЧУП МР.РИККО ПОМОДОРО ГРИЛЬ/ШАШЛ.350Г</t>
  </si>
  <si>
    <t>КЕФИР 2.5% 1.45Л</t>
  </si>
  <si>
    <t>КЕФИР 2.5% ПЭТ 950Г</t>
  </si>
  <si>
    <t>КОКТЕЙЛЬ МОЛ.РАСТИШКА 2% БАБЛ-ГАМ 210Г</t>
  </si>
  <si>
    <t>КОКТЕЙЛЬ МОЛ.РАСТИШКА 2% БАНАН 210Г</t>
  </si>
  <si>
    <t>КОКТЕЙЛЬ МОЛ.РАСТИШКА 2% ВАН.МОРОЖ.210Г</t>
  </si>
  <si>
    <t>КОКТЕЙЛЬ МОЛ.РАСТИШКА 2% КЛУБНИКА 210Г</t>
  </si>
  <si>
    <t>КОЛБАСА ВАР.МОРТАДЕЛЛА В/С 1КГ брест</t>
  </si>
  <si>
    <t>ВЕТЧИНА БЕЛОВЕЖСКАЯ СВ.К/В В/У 1КГ славян</t>
  </si>
  <si>
    <t>ВЕТЧИНА БЕЛОВЕЖСКАЯ СВ.К/В В/У ПОРЦ.1КГ славян</t>
  </si>
  <si>
    <t>ВЕТЧИНА БЕЛОРУССКАЯ ЛЮКС К/В БОЛ.КУС.1КГ гродно</t>
  </si>
  <si>
    <t>ВЕТЧИНА ВАР.БАЛЕРОН НЕЖНЫЙ 450Г брест</t>
  </si>
  <si>
    <t>ГРУДИНКА ДЕРЕВЕНСКАЯ ОСОБАЯ С/К ПОРЦ.1КГ гродно</t>
  </si>
  <si>
    <t>ГРУДИНКА ИЗЫСКАННАЯ ЛЮКС К/В ГАЗ.1КГ волковыск</t>
  </si>
  <si>
    <t>КАРБОНАД ДОМАШНИЙ К/В ПОРЦ.В/У 1КГ брест</t>
  </si>
  <si>
    <t>КАРБОНАД СЛАВЯНСКИЙ К/В В/У 1КГ славян</t>
  </si>
  <si>
    <t>КОЛБАСА АВСТРИЙСКАЯ С/К В/С 1КГ слоним</t>
  </si>
  <si>
    <t>КОЛБАСА АНТОНОВСКАЯ ОРИГ.С/В В/С ГАЗ 1КГ гродно</t>
  </si>
  <si>
    <t>КОЛБАСА ВАР.ДОКТОР.ПРЕМИУМ В/С 1КГ слоним</t>
  </si>
  <si>
    <t>КОЛБАСА ВАР.ДОКТОРСКАЯ В/С 1КГ брест</t>
  </si>
  <si>
    <t>КОЛБАСА ВАР.ДОКТОРСКАЯ НОВ.В/С 1КГ гродно</t>
  </si>
  <si>
    <t>КОЛБАСА ВАР.ДОКТОРСКАЯ НОВАЯ В/С 580Г гродно</t>
  </si>
  <si>
    <t>КОЛБАСА ВАР.ЛЮБИТ.ОСОБ.В/С ГАЗ.1КГ брест</t>
  </si>
  <si>
    <t>КОЛБАСА ВАР.МОЛОЧНАЯ НОВАЯ В/С 580Г гродно</t>
  </si>
  <si>
    <t>КОЛБАСА ВАР.МОЛОЧНАЯ НОВАЯ В/С 650Г слоним</t>
  </si>
  <si>
    <t>КОЛБАСА ВАР.МОЛОЧНАЯ НОВАЯ И/О В/С 1КГ гродно</t>
  </si>
  <si>
    <t>КОЛБАСА ВАР.МОРТАДЕЛЛА В/С 1КГ слоним</t>
  </si>
  <si>
    <t>КОЛБАСА ВАР.МОРТАДЕЛЛА В/С 650Г брест брест</t>
  </si>
  <si>
    <t>КОЛБАСА ВАР.МОРТАДЕЛЛА В/С 650Г слоним</t>
  </si>
  <si>
    <t>КОЛБАСА ВАР.МОРТАДЕЛЛА НОВ.В/С 1КГ гродно</t>
  </si>
  <si>
    <t>КОЛБАСА ВАР.МОРТАДЕЛЛА НОВАЯ В/С 580Г гродно</t>
  </si>
  <si>
    <t>КОЛБАСА ВАР.ОСТАНКИНСКАЯ В/С 1КГ слоним</t>
  </si>
  <si>
    <t>КОЛБАСА ВАР.РУССКАЯ НОВАЯ В/С 1КГ слоним</t>
  </si>
  <si>
    <t>КОЛБАСА ВАР.С САЛОМ В/С 1КГ волковыск</t>
  </si>
  <si>
    <t>КОЛБАСА ВАР.С ТЕЛЯТИНОЙ В/С 1КГ брест</t>
  </si>
  <si>
    <t>КОЛБАСА ВАР.СЛИВОЧНАЯ В/С 1КГ брест</t>
  </si>
  <si>
    <t>КОЛБАСА ВАР.СЛИВОЧНАЯ М/ПТ В/С 650Г брест</t>
  </si>
  <si>
    <t>КОЛБАСА ВАР.ЧЕСНОЧНАЯ 1КГ слоним</t>
  </si>
  <si>
    <t>КОЛБАСА ГЕОРГИЕВСКАЯ П/К 1С ГАЗ.1КГ гродно</t>
  </si>
  <si>
    <t>КОЛБАСА КНЯЖЕСКАЯ НОВАЯ С/В В/С 1КГ волковыск</t>
  </si>
  <si>
    <t>КОЛБАСА ЛИВ.НЕЖЕНКА ПАШТЕТНАЯ Н/О 1КГ слоним</t>
  </si>
  <si>
    <t>КОЛБАСА НАСЛАЖДЕНИЕ ПРЕМИУМ С/К В/С 1КГ слоним</t>
  </si>
  <si>
    <t>КОЛБАСА ОРИГ.ЕВРОПЕЙСКАЯ С/К В/С ГАЗ.1КГ гродно</t>
  </si>
  <si>
    <t>КОЛБАСА ОРИГ.ЯРОСЛАВ.НОВ.С/К 1С ГАЗ.1КГ гродно</t>
  </si>
  <si>
    <t>КОЛБАСА РЕТРО В/К В/С ГАЗ.1КГ слоним</t>
  </si>
  <si>
    <t>КОЛБАСА РУБЛЕВСКАЯ ОСОБ.С/В В/С 1КГ гродно</t>
  </si>
  <si>
    <t>КОЛБАСА СЕРВЕЛАТ БАРБАДОС В/К В/С 1КГ слоним</t>
  </si>
  <si>
    <t>КОЛБАСА СЕРВЕЛАТ ОРЕХ.В/К В/С В/У 1КГ брест</t>
  </si>
  <si>
    <t>КОЛБАСА ЦАРСКАЯ НОВАЯ С/В В/С 1КГ волковыск</t>
  </si>
  <si>
    <t>*5,29</t>
  </si>
  <si>
    <t>БУМАГА ТУАЛ.ЛИЛИЯ 2-ХСЛ.БЕЛ.4ШТ</t>
  </si>
  <si>
    <t>БУМАГА ТУАЛ.СОФИОНЕ ЛАВАНДА 3-ХСЛ.4РУЛ.</t>
  </si>
  <si>
    <t>*4,19</t>
  </si>
  <si>
    <t>*2,45</t>
  </si>
  <si>
    <t>*1,74</t>
  </si>
  <si>
    <t>*2,65</t>
  </si>
  <si>
    <t>*1,84</t>
  </si>
  <si>
    <t>*1,18</t>
  </si>
  <si>
    <t>*1,41</t>
  </si>
  <si>
    <t>*20,99</t>
  </si>
  <si>
    <t>БАТОНЧИК КИНДЕР ШОКОЛАД МАКСИ 21Г</t>
  </si>
  <si>
    <t>БАТОНЧИК ПИКНИК БИГ 76Г</t>
  </si>
  <si>
    <t>БАТОНЧИК ШОК.МАРС 50Г</t>
  </si>
  <si>
    <t>БАТОНЧИК ШОК.СНИКЕРС ЛЕСНОЙ ОРЕХ 81Г</t>
  </si>
  <si>
    <t>БИОЙОГУРТ АКТИВИА 2% ЯБЛ/ВИШ/ФИНИК 260Г</t>
  </si>
  <si>
    <t>БИОЙОГУРТ ПИТ.АКТИВИА 2% ЯБЛ/ЗЛ/КИН.260Г</t>
  </si>
  <si>
    <t>БЛИНЧИКИ БАБУШКА АНЯ С ВЕТЧИН/СЫРОМ 420Г</t>
  </si>
  <si>
    <t>БУЖЕНИНА ПО ДЕРЕВЕНСКИ К/В В/У 1КГ</t>
  </si>
  <si>
    <t>ВАРЕНИКИ БАБУШКА АНЯ С ТВОРОГОМ 430Г</t>
  </si>
  <si>
    <t>ВАФЛИ НЯМ-НЯМКА ВК.ШОКОЛАДА 330Г</t>
  </si>
  <si>
    <t>ВЕТЧИНА ГРОДНЕНСКАЯ ЛЮКС К/В 1КГ</t>
  </si>
  <si>
    <t>ГРУДИНКА ПО-КРЕСТЬЯНСКИ СОЛ.1КГ</t>
  </si>
  <si>
    <t>ЗАТРАК ГОТ.ХРУТКА ДУО ШОКОЛАДНЫЙ 230Г</t>
  </si>
  <si>
    <t>ИКРА МИНТАЯ ДЕЛИКАТЕСНАЯ ЛЮКС 130Г</t>
  </si>
  <si>
    <t>КАПУСТА БРОККОЛИ СВ/М ЗИМОЙ И ЛЕТОМ 400Г</t>
  </si>
  <si>
    <t>КАРАМЕЛЬ ЧУПА ЧУПС ВК.ТРОПИЧ.ФРУКТОВ 15Г</t>
  </si>
  <si>
    <t>КВАС АЛИВАРИЯ БЕЛЫЙ ФЛАУЭР ПАУЭР 1.5Л</t>
  </si>
  <si>
    <t>КОЛБАСА ВАР.ВАРШАВСКАЯ НОВАЯ В/С ГАЗ.1КГ</t>
  </si>
  <si>
    <t>КОЛБАСА ВАР.ВОЛКОВЫССКАЯ НЕЖНАЯ В/С 1КГ</t>
  </si>
  <si>
    <t>КОЛБАСА ВАР.МОРТАДЕЛ.В/С М/ПТ.ГАЗ.420Г</t>
  </si>
  <si>
    <t>КОЛБАСА ВАР.МОРТАДЕЛЛА М/ПТ 610Г</t>
  </si>
  <si>
    <t>КОЛБАСА ВАР.МОРТАДЕЛЛА НЕЖНАЯ В/С 1КГ</t>
  </si>
  <si>
    <t>КОЛБАСА ВАР.НЕЖЕНКА НОВ.М/ПТ В/С 400Г</t>
  </si>
  <si>
    <t>КОЛБАСА ВАР.ЧАЙНАЯ М/Р 1С Н/О ГАЗ.1КГ</t>
  </si>
  <si>
    <t>КОЛБАСА КНЯЖЕСКАЯ НОВАЯ С/В В/С В/У 1КГ</t>
  </si>
  <si>
    <t>КОЛБАСА КРЕМЛЕВСКАЯ В/С В/К НАР.250Г</t>
  </si>
  <si>
    <t>КОЛБАСА КУРОРТНАЯ П/К ГАЗ.1КГ</t>
  </si>
  <si>
    <t>ЙОГУРТ 2% ЛЕСНАЯ ЯГОДА 930Г</t>
  </si>
  <si>
    <t>ЙОГУРТ 5% ПЛОМБИР ШАР/МОЛ/БЕЛ.ШОК.105Г</t>
  </si>
  <si>
    <t>ЙОГУРТ БАЗ.ПОЛЬЗА 2% ПЕРС/МАНГО СТ.350Г</t>
  </si>
  <si>
    <t>ЙОГУРТ БИФ.2% КИВИ/ЗЛАКИ ПЭТ 415Г</t>
  </si>
  <si>
    <t>ЙОГУРТ БИФ.2% ЧЕРНОСЛИВ/ЗЛАКИ ПЭТ 415Г</t>
  </si>
  <si>
    <t>КОКТЕЙЛЬ МОЛ.ТОП 2% КЛУБНИКА 450Г</t>
  </si>
  <si>
    <t>КОКТЕЙЛЬ МОЛ.ТОП 2% МОЛ.ШОКОЛ.450Г</t>
  </si>
  <si>
    <t>*1,51</t>
  </si>
  <si>
    <t>БУМАГА ТУАЛ.ЗЕВА ДЕЛЮКС БЕЛАЯ 4РУЛ.</t>
  </si>
  <si>
    <t>АНТИП.-АЭРОЗ.РЕКСОНА ПРОЗ.КРИСТАЛЛ 150МЛ</t>
  </si>
  <si>
    <t>АНТИП.-КАРАНД.РЕКСОНА КОБАЛЬТ 50Г</t>
  </si>
  <si>
    <t>Блинчики</t>
  </si>
  <si>
    <t>Вареники</t>
  </si>
  <si>
    <t>ИКРА ЗЕРН.ГОРБУШИ ДЕЛ МАРЕ Ж/Б 105Г</t>
  </si>
  <si>
    <t>БЛИНЧИКИ БАБУШКА АНЯ С КУРИЦЕЙ 420Г</t>
  </si>
  <si>
    <t>ДЖЕМ МАХЕЕВЪ ИНЖИР Д/П 300Г</t>
  </si>
  <si>
    <t>АНАНАСЫ КОНС.ЭКОЛАЙН НЬЮ КУС.В СИР.565Г</t>
  </si>
  <si>
    <t>КЕТЧУП МАХЕЕВЪ ЛЕЧО Д/П 300Г</t>
  </si>
  <si>
    <t>*1,05</t>
  </si>
  <si>
    <t>*8,49</t>
  </si>
  <si>
    <t>8593838982621,8717163340561, 8714100701751,8714100714959,8714100922323,8714100794159,8718114671024,8717644585085,4605922016991,8717644089293,8720182996138 4605922009986,8714100794227,</t>
  </si>
  <si>
    <t>БУМАГА ТУАЛ.ПЕРО ЛАЙТ 3-ХСЛ.БЕЛ.4РУЛ.</t>
  </si>
  <si>
    <t>*2,3</t>
  </si>
  <si>
    <t>*9,55</t>
  </si>
  <si>
    <t>*9,19</t>
  </si>
  <si>
    <t>*8,69</t>
  </si>
  <si>
    <t>САЛЯМИ КРЕМЛЕВСКАЯ В/С В/К В/У 1КГ</t>
  </si>
  <si>
    <t>ВИНО ВИНЬЯ АМАТЕ БЛАНКО БЕЛ.СУХ.12%0.75Л</t>
  </si>
  <si>
    <t>ВИНО ВИНЬЯ АМАТЕ БЛАНКО КР.СУХ.14%0.75Л</t>
  </si>
  <si>
    <t>ВИНО БАРОН ДЕ АРИН.РОЗ.П/СЛ.10.5% 0.75Л</t>
  </si>
  <si>
    <t>ВИНО ИГР.КОНТАРИНИ БЕЛ.БРЮТ 11% 0.75Л</t>
  </si>
  <si>
    <t>КОЛБАСА ВАР.МОРТАДЕЛЛИЯ В/С М/ПТ 620Г</t>
  </si>
  <si>
    <t>САЛЯМИ ОРЕХОВАЯ В/К В/С НАР.В/У 220Г</t>
  </si>
  <si>
    <t>Колбаса вареная "Молочная" в/с бресткий мк 650г</t>
  </si>
  <si>
    <t>*1,5</t>
  </si>
  <si>
    <t>*4,79</t>
  </si>
  <si>
    <t>*0,96</t>
  </si>
  <si>
    <t>*6,98</t>
  </si>
  <si>
    <t>*2,15</t>
  </si>
  <si>
    <t>*1,28</t>
  </si>
  <si>
    <t>*2,2</t>
  </si>
  <si>
    <t>*2,11</t>
  </si>
  <si>
    <t>*1,48</t>
  </si>
  <si>
    <t>*0,63</t>
  </si>
  <si>
    <t>*0,74</t>
  </si>
  <si>
    <t>*1,08</t>
  </si>
  <si>
    <t>*8,79</t>
  </si>
  <si>
    <t>дата загрузки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</si>
</sst>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8"/>
      <color rgb="FF363636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4"/>
      <name val="Arial"/>
      <family val="2"/>
      <charset val="204"/>
    </font>
    <font>
      <sz val="16"/>
      <name val="Calibri"/>
      <family val="2"/>
      <scheme val="minor"/>
    </font>
    <font>
      <b/>
      <sz val="16"/>
      <name val="Calibri"/>
      <family val="2"/>
      <charset val="204"/>
      <scheme val="minor"/>
    </font>
    <font>
      <sz val="12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7">
    <xf numFmtId="0" fontId="0" fillId="0" borderId="0"/>
    <xf numFmtId="0" fontId="10" fillId="0" borderId="0"/>
    <xf numFmtId="9" fontId="12" fillId="0" borderId="0" applyFont="0" applyFill="0" applyBorder="0" applyAlignment="0" applyProtection="0"/>
    <xf numFmtId="0" fontId="9" fillId="0" borderId="0"/>
    <xf numFmtId="0" fontId="12" fillId="0" borderId="0"/>
    <xf numFmtId="0" fontId="10" fillId="0" borderId="0"/>
    <xf numFmtId="9" fontId="12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6" fillId="0" borderId="0" applyFont="0" applyFill="0" applyBorder="0" applyAlignment="0" applyProtection="0"/>
    <xf numFmtId="0" fontId="6" fillId="0" borderId="0"/>
    <xf numFmtId="0" fontId="12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10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2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</cellStyleXfs>
  <cellXfs count="34">
    <xf numFmtId="0" fontId="0" fillId="0" borderId="0" xfId="0"/>
    <xf numFmtId="0" fontId="0" fillId="2" borderId="1" xfId="0" applyFill="1" applyBorder="1"/>
    <xf numFmtId="9" fontId="0" fillId="0" borderId="0" xfId="2" applyFont="1"/>
    <xf numFmtId="0" fontId="0" fillId="0" borderId="1" xfId="0" applyBorder="1"/>
    <xf numFmtId="164" fontId="0" fillId="0" borderId="0" xfId="2" applyNumberFormat="1" applyFont="1"/>
    <xf numFmtId="0" fontId="0" fillId="2" borderId="0" xfId="0" applyFill="1"/>
    <xf numFmtId="164" fontId="0" fillId="0" borderId="1" xfId="2" applyNumberFormat="1" applyFont="1" applyBorder="1"/>
    <xf numFmtId="164" fontId="0" fillId="2" borderId="1" xfId="2" applyNumberFormat="1" applyFont="1" applyFill="1" applyBorder="1"/>
    <xf numFmtId="0" fontId="12" fillId="4" borderId="1" xfId="13" applyFill="1" applyBorder="1"/>
    <xf numFmtId="0" fontId="12" fillId="4" borderId="0" xfId="13" applyFill="1"/>
    <xf numFmtId="16" fontId="17" fillId="4" borderId="1" xfId="13" applyNumberFormat="1" applyFont="1" applyFill="1" applyBorder="1" applyAlignment="1">
      <alignment horizontal="center" wrapText="1"/>
    </xf>
    <xf numFmtId="0" fontId="18" fillId="0" borderId="1" xfId="13" applyFont="1" applyBorder="1" applyAlignment="1">
      <alignment horizontal="center" vertical="center"/>
    </xf>
    <xf numFmtId="4" fontId="18" fillId="0" borderId="1" xfId="13" applyNumberFormat="1" applyFont="1" applyBorder="1" applyAlignment="1">
      <alignment horizontal="center"/>
    </xf>
    <xf numFmtId="0" fontId="12" fillId="0" borderId="0" xfId="13" applyAlignment="1">
      <alignment horizontal="center"/>
    </xf>
    <xf numFmtId="0" fontId="12" fillId="0" borderId="0" xfId="13"/>
    <xf numFmtId="0" fontId="12" fillId="0" borderId="1" xfId="13" applyBorder="1"/>
    <xf numFmtId="1" fontId="12" fillId="0" borderId="0" xfId="13" applyNumberFormat="1"/>
    <xf numFmtId="0" fontId="14" fillId="0" borderId="1" xfId="13" applyFont="1" applyBorder="1"/>
    <xf numFmtId="0" fontId="12" fillId="0" borderId="1" xfId="13" applyBorder="1" applyAlignment="1">
      <alignment horizontal="center"/>
    </xf>
    <xf numFmtId="0" fontId="13" fillId="0" borderId="0" xfId="0" applyFont="1" applyAlignment="1">
      <alignment horizontal="center"/>
    </xf>
    <xf numFmtId="0" fontId="18" fillId="0" borderId="1" xfId="0" applyFont="1" applyBorder="1" applyAlignment="1">
      <alignment horizontal="center" vertical="center"/>
    </xf>
    <xf numFmtId="1" fontId="18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0" fontId="18" fillId="3" borderId="1" xfId="0" applyFont="1" applyFill="1" applyBorder="1" applyAlignment="1">
      <alignment horizontal="left" vertical="center"/>
    </xf>
    <xf numFmtId="0" fontId="18" fillId="3" borderId="1" xfId="13" applyFont="1" applyFill="1" applyBorder="1" applyAlignment="1">
      <alignment horizontal="center" vertical="center"/>
    </xf>
    <xf numFmtId="1" fontId="12" fillId="4" borderId="1" xfId="13" applyNumberFormat="1" applyFill="1" applyBorder="1"/>
    <xf numFmtId="16" fontId="17" fillId="5" borderId="1" xfId="13" applyNumberFormat="1" applyFont="1" applyFill="1" applyBorder="1" applyAlignment="1">
      <alignment horizontal="center" wrapText="1"/>
    </xf>
    <xf numFmtId="0" fontId="11" fillId="4" borderId="1" xfId="13" applyFont="1" applyFill="1" applyBorder="1" applyAlignment="1">
      <alignment horizontal="left" vertical="center"/>
    </xf>
    <xf numFmtId="1" fontId="11" fillId="4" borderId="1" xfId="13" applyNumberFormat="1" applyFont="1" applyFill="1" applyBorder="1" applyAlignment="1">
      <alignment horizontal="left" vertical="center"/>
    </xf>
    <xf numFmtId="0" fontId="17" fillId="5" borderId="1" xfId="13" applyFont="1" applyFill="1" applyBorder="1" applyAlignment="1">
      <alignment horizontal="center" wrapText="1"/>
    </xf>
    <xf numFmtId="16" fontId="16" fillId="4" borderId="1" xfId="13" applyNumberFormat="1" applyFont="1" applyFill="1" applyBorder="1"/>
    <xf numFmtId="0" fontId="15" fillId="4" borderId="1" xfId="13" applyFont="1" applyFill="1" applyBorder="1" applyAlignment="1">
      <alignment horizontal="center" vertical="center"/>
    </xf>
    <xf numFmtId="0" fontId="18" fillId="6" borderId="1" xfId="13" applyFont="1" applyFill="1" applyBorder="1" applyAlignment="1">
      <alignment horizontal="center" vertical="center"/>
    </xf>
    <xf numFmtId="0" fontId="18" fillId="7" borderId="1" xfId="13" applyFont="1" applyFill="1" applyBorder="1" applyAlignment="1">
      <alignment horizontal="center" vertical="center"/>
    </xf>
  </cellXfs>
  <cellStyles count="37">
    <cellStyle name="Обычный" xfId="0" builtinId="0"/>
    <cellStyle name="Обычный 15" xfId="27"/>
    <cellStyle name="Обычный 16" xfId="29"/>
    <cellStyle name="Обычный 17" xfId="31"/>
    <cellStyle name="Обычный 2" xfId="1"/>
    <cellStyle name="Обычный 2 2" xfId="4"/>
    <cellStyle name="Обычный 2 2 2" xfId="5"/>
    <cellStyle name="Обычный 2 2 3" xfId="13"/>
    <cellStyle name="Обычный 3" xfId="3"/>
    <cellStyle name="Обычный 3 2" xfId="20"/>
    <cellStyle name="Обычный 4" xfId="7"/>
    <cellStyle name="Обычный 5" xfId="10"/>
    <cellStyle name="Обычный 5 2" xfId="15"/>
    <cellStyle name="Обычный 5 3" xfId="18"/>
    <cellStyle name="Обычный 5 4" xfId="22"/>
    <cellStyle name="Обычный 6" xfId="12"/>
    <cellStyle name="Обычный 6 2" xfId="16"/>
    <cellStyle name="Обычный 6 3" xfId="19"/>
    <cellStyle name="Обычный 6 4" xfId="23"/>
    <cellStyle name="Обычный 7" xfId="24"/>
    <cellStyle name="Обычный 7 2" xfId="36"/>
    <cellStyle name="Обычный 8" xfId="33"/>
    <cellStyle name="Обычный 9" xfId="35"/>
    <cellStyle name="Процентный" xfId="2" builtinId="5"/>
    <cellStyle name="Процентный 2" xfId="8"/>
    <cellStyle name="Процентный 3" xfId="6"/>
    <cellStyle name="Процентный 4" xfId="9"/>
    <cellStyle name="Процентный 4 2" xfId="26"/>
    <cellStyle name="Процентный 5" xfId="11"/>
    <cellStyle name="Процентный 5 2" xfId="14"/>
    <cellStyle name="Процентный 5 3" xfId="17"/>
    <cellStyle name="Процентный 5 4" xfId="21"/>
    <cellStyle name="Процентный 5 4 2" xfId="34"/>
    <cellStyle name="Процентный 6" xfId="25"/>
    <cellStyle name="Процентный 7" xfId="28"/>
    <cellStyle name="Процентный 8" xfId="30"/>
    <cellStyle name="Процентный 9" xfId="32"/>
  </cellStyles>
  <dxfs count="26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Разница с Евроопт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'Ценовой баланс в категориях'!$E$3</c:f>
              <c:strCache>
                <c:ptCount val="1"/>
                <c:pt idx="0">
                  <c:v>Баланс Евро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'Ценовой баланс в категориях'!$B$4:$B$14</c:f>
              <c:strCache>
                <c:ptCount val="11"/>
                <c:pt idx="0">
                  <c:v>Алкоголь </c:v>
                </c:pt>
                <c:pt idx="1">
                  <c:v>Бакалея </c:v>
                </c:pt>
                <c:pt idx="2">
                  <c:v>Замороженные продукты</c:v>
                </c:pt>
                <c:pt idx="3">
                  <c:v>Колбасные изделия </c:v>
                </c:pt>
                <c:pt idx="4">
                  <c:v>Консервация </c:v>
                </c:pt>
                <c:pt idx="5">
                  <c:v>Молочная продукция </c:v>
                </c:pt>
                <c:pt idx="6">
                  <c:v>Мучные кондитерские изделия</c:v>
                </c:pt>
                <c:pt idx="7">
                  <c:v>Напитки , соки, вода </c:v>
                </c:pt>
                <c:pt idx="8">
                  <c:v>Рыба, продукты из рыбы</c:v>
                </c:pt>
                <c:pt idx="9">
                  <c:v>Сахарные кондитерские изделия </c:v>
                </c:pt>
                <c:pt idx="10">
                  <c:v>Хлеб и хлебобулочные изделия </c:v>
                </c:pt>
              </c:strCache>
            </c:strRef>
          </c:cat>
          <c:val>
            <c:numRef>
              <c:f>'Ценовой баланс в категориях'!$E$4:$E$14</c:f>
              <c:numCache>
                <c:formatCode>0.0%</c:formatCode>
                <c:ptCount val="11"/>
                <c:pt idx="0">
                  <c:v>0.10997954954089395</c:v>
                </c:pt>
                <c:pt idx="1">
                  <c:v>2.9113607990012502E-2</c:v>
                </c:pt>
                <c:pt idx="2">
                  <c:v>7.334902738198501E-2</c:v>
                </c:pt>
                <c:pt idx="3">
                  <c:v>1.9684045828496366E-3</c:v>
                </c:pt>
                <c:pt idx="4">
                  <c:v>8.3390923750288115E-2</c:v>
                </c:pt>
                <c:pt idx="5">
                  <c:v>1.1705108032390665E-2</c:v>
                </c:pt>
                <c:pt idx="7">
                  <c:v>6.6548707362626525E-2</c:v>
                </c:pt>
                <c:pt idx="9">
                  <c:v>6.1771935449396187E-2</c:v>
                </c:pt>
                <c:pt idx="10">
                  <c:v>2.3904382470119501E-2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37-4F26-8E9A-6EAD88D6BCF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81542248"/>
        <c:axId val="481548520"/>
      </c:barChart>
      <c:catAx>
        <c:axId val="48154224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1548520"/>
        <c:crosses val="autoZero"/>
        <c:auto val="1"/>
        <c:lblAlgn val="ctr"/>
        <c:lblOffset val="100"/>
        <c:noMultiLvlLbl val="0"/>
      </c:catAx>
      <c:valAx>
        <c:axId val="481548520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481542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Разница с Виталюр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'Ценовой баланс в категориях'!$H$3</c:f>
              <c:strCache>
                <c:ptCount val="1"/>
                <c:pt idx="0">
                  <c:v>Баланс Вит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8.3333333333333329E-2"/>
                  <c:y val="8.4875562720133283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902-4052-B1FB-CC3933FEF34F}"/>
                </c:ext>
              </c:extLst>
            </c:dLbl>
            <c:dLbl>
              <c:idx val="3"/>
              <c:layout>
                <c:manualLayout>
                  <c:x val="0.18888888888888888"/>
                  <c:y val="8.4875562720133283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902-4052-B1FB-CC3933FEF34F}"/>
                </c:ext>
              </c:extLst>
            </c:dLbl>
            <c:dLbl>
              <c:idx val="4"/>
              <c:layout>
                <c:manualLayout>
                  <c:x val="9.1666666666666716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902-4052-B1FB-CC3933FEF34F}"/>
                </c:ext>
              </c:extLst>
            </c:dLbl>
            <c:dLbl>
              <c:idx val="7"/>
              <c:layout>
                <c:manualLayout>
                  <c:x val="4.1666666666666567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902-4052-B1FB-CC3933FEF34F}"/>
                </c:ext>
              </c:extLst>
            </c:dLbl>
            <c:dLbl>
              <c:idx val="9"/>
              <c:layout>
                <c:manualLayout>
                  <c:x val="5.2372159867048941E-2"/>
                  <c:y val="-4.6296296296296294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3EA-4801-AD61-12A7FC8EA2D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'Ценовой баланс в категориях'!$B$4:$B$14</c:f>
              <c:strCache>
                <c:ptCount val="11"/>
                <c:pt idx="0">
                  <c:v>Алкоголь </c:v>
                </c:pt>
                <c:pt idx="1">
                  <c:v>Бакалея </c:v>
                </c:pt>
                <c:pt idx="2">
                  <c:v>Замороженные продукты</c:v>
                </c:pt>
                <c:pt idx="3">
                  <c:v>Колбасные изделия </c:v>
                </c:pt>
                <c:pt idx="4">
                  <c:v>Консервация </c:v>
                </c:pt>
                <c:pt idx="5">
                  <c:v>Молочная продукция </c:v>
                </c:pt>
                <c:pt idx="6">
                  <c:v>Мучные кондитерские изделия</c:v>
                </c:pt>
                <c:pt idx="7">
                  <c:v>Напитки , соки, вода </c:v>
                </c:pt>
                <c:pt idx="8">
                  <c:v>Рыба, продукты из рыбы</c:v>
                </c:pt>
                <c:pt idx="9">
                  <c:v>Сахарные кондитерские изделия </c:v>
                </c:pt>
                <c:pt idx="10">
                  <c:v>Хлеб и хлебобулочные изделия </c:v>
                </c:pt>
              </c:strCache>
            </c:strRef>
          </c:cat>
          <c:val>
            <c:numRef>
              <c:f>'Ценовой баланс в категориях'!$H$4:$H$14</c:f>
              <c:numCache>
                <c:formatCode>0.0%</c:formatCode>
                <c:ptCount val="11"/>
                <c:pt idx="0">
                  <c:v>7.7779380650124796E-3</c:v>
                </c:pt>
                <c:pt idx="1">
                  <c:v>3.2259828312100058E-3</c:v>
                </c:pt>
                <c:pt idx="2">
                  <c:v>-5.380288579114656E-3</c:v>
                </c:pt>
                <c:pt idx="3">
                  <c:v>-2.182558929091083E-2</c:v>
                </c:pt>
                <c:pt idx="4">
                  <c:v>-5.2375607931163248E-3</c:v>
                </c:pt>
                <c:pt idx="5">
                  <c:v>3.3979381443298928E-2</c:v>
                </c:pt>
                <c:pt idx="7">
                  <c:v>3.3495736906211881E-2</c:v>
                </c:pt>
                <c:pt idx="9">
                  <c:v>-1.0461245839277211E-3</c:v>
                </c:pt>
                <c:pt idx="10">
                  <c:v>2.3947750362844689E-2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02-4052-B1FB-CC3933FEF34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81547736"/>
        <c:axId val="481544208"/>
      </c:barChart>
      <c:catAx>
        <c:axId val="481547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1544208"/>
        <c:crosses val="autoZero"/>
        <c:auto val="1"/>
        <c:lblAlgn val="ctr"/>
        <c:lblOffset val="100"/>
        <c:noMultiLvlLbl val="0"/>
      </c:catAx>
      <c:valAx>
        <c:axId val="4815442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481547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15</xdr:row>
      <xdr:rowOff>14287</xdr:rowOff>
    </xdr:from>
    <xdr:to>
      <xdr:col>6</xdr:col>
      <xdr:colOff>19050</xdr:colOff>
      <xdr:row>29</xdr:row>
      <xdr:rowOff>90487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0B9DC66-D078-4DE9-A371-46F4BF2205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419100</xdr:colOff>
      <xdr:row>15</xdr:row>
      <xdr:rowOff>33337</xdr:rowOff>
    </xdr:from>
    <xdr:to>
      <xdr:col>14</xdr:col>
      <xdr:colOff>114300</xdr:colOff>
      <xdr:row>29</xdr:row>
      <xdr:rowOff>109537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81170568-BD4C-4D46-B329-574A679227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H789" dT="2023-01-23T13:02:35.30" personId="{00000000-0000-0000-0000-000000000000}" id="{84CF6C8E-D2DD-44E8-B625-341133C919A0}">
    <text xml:space="preserve">4813559001598
</text>
  </threadedComment>
  <threadedComment ref="H794" dT="2023-01-23T13:03:59.37" personId="{00000000-0000-0000-0000-000000000000}" id="{2D8EF50F-2FA5-48DB-A401-AA68B456CE9A}">
    <text xml:space="preserve">4810023005700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8"/>
  <sheetViews>
    <sheetView tabSelected="1" zoomScale="68" zoomScaleNormal="68" workbookViewId="0">
      <pane xSplit="5" ySplit="3" topLeftCell="F4" activePane="bottomRight" state="frozen"/>
      <selection pane="topRight" activeCell="I1" sqref="I1"/>
      <selection pane="bottomLeft" activeCell="A3" sqref="A3"/>
      <selection pane="bottomRight" activeCell="K5" sqref="K5"/>
    </sheetView>
  </sheetViews>
  <sheetFormatPr defaultColWidth="9.109375" defaultRowHeight="14.4" x14ac:dyDescent="0.3"/>
  <cols>
    <col min="1" max="1" width="3.88671875" style="14" hidden="1" customWidth="1"/>
    <col min="2" max="2" width="29.33203125" style="14" customWidth="1"/>
    <col min="3" max="3" width="29.109375" style="16" customWidth="1"/>
    <col min="4" max="4" width="56.109375" style="14" customWidth="1"/>
    <col min="5" max="5" width="15.33203125" style="13" customWidth="1"/>
    <col min="6" max="6" width="19.5546875" style="13" customWidth="1"/>
    <col min="7" max="7" width="14.33203125" style="13" customWidth="1"/>
    <col min="8" max="8" width="13.6640625" style="13" customWidth="1"/>
    <col min="9" max="9" width="13" style="13" customWidth="1"/>
    <col min="10" max="10" width="14.6640625" style="13" customWidth="1"/>
    <col min="11" max="11" width="15.109375" style="14" customWidth="1"/>
    <col min="12" max="16384" width="9.109375" style="14"/>
  </cols>
  <sheetData>
    <row r="1" spans="1:11" s="9" customFormat="1" ht="21" customHeight="1" x14ac:dyDescent="0.4">
      <c r="A1" s="8" t="s">
        <v>172</v>
      </c>
      <c r="B1" s="27" t="s">
        <v>30</v>
      </c>
      <c r="C1" s="28" t="s">
        <v>31</v>
      </c>
      <c r="D1" s="27" t="s">
        <v>32</v>
      </c>
      <c r="E1" s="29" t="s">
        <v>38</v>
      </c>
      <c r="F1" s="30" t="s">
        <v>33</v>
      </c>
      <c r="G1" s="30" t="s">
        <v>190</v>
      </c>
      <c r="H1" s="30" t="s">
        <v>36</v>
      </c>
      <c r="I1" s="30" t="s">
        <v>37</v>
      </c>
      <c r="J1" s="31" t="s">
        <v>39</v>
      </c>
    </row>
    <row r="2" spans="1:11" customFormat="1" ht="15.9" customHeight="1" x14ac:dyDescent="0.4">
      <c r="A2" s="8"/>
      <c r="B2" s="8"/>
      <c r="C2" s="25"/>
      <c r="D2" s="8"/>
      <c r="E2" s="10"/>
      <c r="F2" s="10" t="s">
        <v>494</v>
      </c>
      <c r="G2" s="10" t="s">
        <v>494</v>
      </c>
      <c r="H2" s="10" t="s">
        <v>494</v>
      </c>
      <c r="I2" s="10" t="s">
        <v>494</v>
      </c>
      <c r="J2" s="26"/>
      <c r="K2" s="14"/>
    </row>
    <row r="3" spans="1:11" ht="15.75" customHeight="1" x14ac:dyDescent="0.3">
      <c r="A3" s="15">
        <v>667646</v>
      </c>
      <c r="B3" s="22" t="s">
        <v>11</v>
      </c>
      <c r="C3" s="21">
        <v>4811180005824</v>
      </c>
      <c r="D3" s="20" t="s">
        <v>463</v>
      </c>
      <c r="E3" s="11">
        <v>3.9</v>
      </c>
      <c r="F3" s="24"/>
      <c r="G3" s="24"/>
      <c r="H3" s="24"/>
      <c r="I3" s="24"/>
      <c r="J3" s="12"/>
    </row>
    <row r="4" spans="1:11" ht="15.9" customHeight="1" x14ac:dyDescent="0.3">
      <c r="A4" s="15">
        <v>733142</v>
      </c>
      <c r="B4" s="22" t="s">
        <v>23</v>
      </c>
      <c r="C4" s="21" t="s">
        <v>467</v>
      </c>
      <c r="D4" s="20" t="s">
        <v>456</v>
      </c>
      <c r="E4" s="11">
        <v>8.99</v>
      </c>
      <c r="F4" s="24">
        <v>6.99</v>
      </c>
      <c r="G4" s="24">
        <v>10.06</v>
      </c>
      <c r="H4" s="24" t="s">
        <v>484</v>
      </c>
      <c r="I4" s="24">
        <v>10.06</v>
      </c>
      <c r="J4" s="12"/>
    </row>
    <row r="5" spans="1:11" ht="15.9" customHeight="1" x14ac:dyDescent="0.3">
      <c r="A5" s="15"/>
      <c r="B5" s="22" t="s">
        <v>23</v>
      </c>
      <c r="C5" s="21">
        <v>73103714.461436093</v>
      </c>
      <c r="D5" s="20" t="s">
        <v>457</v>
      </c>
      <c r="E5" s="11" t="s">
        <v>472</v>
      </c>
      <c r="F5" s="24">
        <v>9.99</v>
      </c>
      <c r="G5" s="24"/>
      <c r="H5" s="24">
        <v>12.66</v>
      </c>
      <c r="I5" s="24">
        <v>12.97</v>
      </c>
      <c r="J5" s="12"/>
    </row>
    <row r="6" spans="1:11" ht="15.9" customHeight="1" x14ac:dyDescent="0.3">
      <c r="A6" s="15">
        <v>460341</v>
      </c>
      <c r="B6" s="22" t="s">
        <v>3</v>
      </c>
      <c r="C6" s="21">
        <v>4811564000155</v>
      </c>
      <c r="D6" s="20" t="s">
        <v>4</v>
      </c>
      <c r="E6" s="11">
        <v>2.87</v>
      </c>
      <c r="F6" s="24">
        <v>2.85</v>
      </c>
      <c r="G6" s="24"/>
      <c r="H6" s="24">
        <v>3.39</v>
      </c>
      <c r="I6" s="24" t="s">
        <v>51</v>
      </c>
      <c r="J6" s="12"/>
    </row>
    <row r="7" spans="1:11" ht="15.9" customHeight="1" x14ac:dyDescent="0.3">
      <c r="A7" s="15">
        <v>733326</v>
      </c>
      <c r="B7" s="22" t="s">
        <v>3</v>
      </c>
      <c r="C7" s="21">
        <v>4607012352804</v>
      </c>
      <c r="D7" s="20" t="s">
        <v>163</v>
      </c>
      <c r="E7" s="11">
        <v>1.76</v>
      </c>
      <c r="F7" s="24"/>
      <c r="G7" s="24"/>
      <c r="H7" s="24" t="s">
        <v>152</v>
      </c>
      <c r="I7" s="24" t="s">
        <v>46</v>
      </c>
      <c r="J7" s="12"/>
    </row>
    <row r="8" spans="1:11" ht="15.9" customHeight="1" x14ac:dyDescent="0.3">
      <c r="A8" s="15">
        <v>616135</v>
      </c>
      <c r="B8" s="22" t="s">
        <v>10</v>
      </c>
      <c r="C8" s="21">
        <v>12735</v>
      </c>
      <c r="D8" s="20" t="s">
        <v>238</v>
      </c>
      <c r="E8" s="11">
        <v>21.71</v>
      </c>
      <c r="F8" s="24"/>
      <c r="G8" s="24"/>
      <c r="H8" s="24"/>
      <c r="I8" s="24"/>
      <c r="J8" s="12"/>
    </row>
    <row r="9" spans="1:11" ht="15.9" customHeight="1" x14ac:dyDescent="0.3">
      <c r="A9" s="15">
        <v>733033</v>
      </c>
      <c r="B9" s="22" t="s">
        <v>0</v>
      </c>
      <c r="C9" s="21">
        <v>4810417003374</v>
      </c>
      <c r="D9" s="20" t="s">
        <v>239</v>
      </c>
      <c r="E9" s="11">
        <v>5.3</v>
      </c>
      <c r="F9" s="24">
        <v>5.0999999999999996</v>
      </c>
      <c r="G9" s="24">
        <v>5.14</v>
      </c>
      <c r="H9" s="24">
        <v>4.95</v>
      </c>
      <c r="I9" s="24">
        <v>5.25</v>
      </c>
      <c r="J9" s="12"/>
    </row>
    <row r="10" spans="1:11" ht="15.9" customHeight="1" x14ac:dyDescent="0.3">
      <c r="A10" s="15"/>
      <c r="B10" s="22" t="s">
        <v>0</v>
      </c>
      <c r="C10" s="21">
        <v>4810417004500</v>
      </c>
      <c r="D10" s="20" t="s">
        <v>240</v>
      </c>
      <c r="E10" s="11">
        <v>11.87</v>
      </c>
      <c r="F10" s="24">
        <v>11.43</v>
      </c>
      <c r="G10" s="24">
        <v>11.56</v>
      </c>
      <c r="H10" s="24">
        <v>11.15</v>
      </c>
      <c r="I10" s="24">
        <v>11.81</v>
      </c>
      <c r="J10" s="12"/>
    </row>
    <row r="11" spans="1:11" ht="15.75" customHeight="1" x14ac:dyDescent="0.3">
      <c r="A11" s="15">
        <v>21394</v>
      </c>
      <c r="B11" s="22" t="s">
        <v>29</v>
      </c>
      <c r="C11" s="21" t="s">
        <v>236</v>
      </c>
      <c r="D11" s="20" t="s">
        <v>139</v>
      </c>
      <c r="E11" s="11">
        <v>12.99</v>
      </c>
      <c r="F11" s="24">
        <v>11.79</v>
      </c>
      <c r="G11" s="24"/>
      <c r="H11" s="24">
        <v>12.49</v>
      </c>
      <c r="I11" s="24">
        <v>12.49</v>
      </c>
      <c r="J11" s="12"/>
    </row>
    <row r="12" spans="1:11" ht="15.9" customHeight="1" x14ac:dyDescent="0.3">
      <c r="A12" s="15">
        <v>111110</v>
      </c>
      <c r="B12" s="22" t="s">
        <v>182</v>
      </c>
      <c r="C12" s="21">
        <v>4811229012509</v>
      </c>
      <c r="D12" s="20" t="s">
        <v>241</v>
      </c>
      <c r="E12" s="11">
        <v>1.79</v>
      </c>
      <c r="F12" s="24">
        <v>1.78</v>
      </c>
      <c r="G12" s="24"/>
      <c r="H12" s="24"/>
      <c r="I12" s="24"/>
      <c r="J12" s="12"/>
    </row>
    <row r="13" spans="1:11" ht="15.9" customHeight="1" x14ac:dyDescent="0.3">
      <c r="A13" s="15">
        <v>732975</v>
      </c>
      <c r="B13" s="22" t="s">
        <v>194</v>
      </c>
      <c r="C13" s="21">
        <v>4810128000280</v>
      </c>
      <c r="D13" s="20" t="s">
        <v>242</v>
      </c>
      <c r="E13" s="11">
        <v>0.77</v>
      </c>
      <c r="F13" s="24" t="s">
        <v>490</v>
      </c>
      <c r="G13" s="24">
        <v>0.85</v>
      </c>
      <c r="H13" s="24">
        <v>0.8</v>
      </c>
      <c r="I13" s="24">
        <v>0.86</v>
      </c>
      <c r="J13" s="12"/>
    </row>
    <row r="14" spans="1:11" ht="15.9" customHeight="1" x14ac:dyDescent="0.3">
      <c r="A14" s="15">
        <v>732976</v>
      </c>
      <c r="B14" s="22" t="s">
        <v>194</v>
      </c>
      <c r="C14" s="21">
        <v>40084077</v>
      </c>
      <c r="D14" s="20" t="s">
        <v>420</v>
      </c>
      <c r="E14" s="11">
        <v>1.32</v>
      </c>
      <c r="F14" s="24">
        <v>1.35</v>
      </c>
      <c r="G14" s="24">
        <v>1.34</v>
      </c>
      <c r="H14" s="24"/>
      <c r="I14" s="24">
        <v>1.56</v>
      </c>
      <c r="J14" s="12"/>
    </row>
    <row r="15" spans="1:11" ht="15.9" customHeight="1" x14ac:dyDescent="0.3">
      <c r="A15" s="15">
        <v>701066</v>
      </c>
      <c r="B15" s="22" t="s">
        <v>194</v>
      </c>
      <c r="C15" s="21">
        <v>7622210357915</v>
      </c>
      <c r="D15" s="20" t="s">
        <v>421</v>
      </c>
      <c r="E15" s="11">
        <v>2.39</v>
      </c>
      <c r="F15" s="24">
        <v>2.1800000000000002</v>
      </c>
      <c r="G15" s="24"/>
      <c r="H15" s="24">
        <v>2.25</v>
      </c>
      <c r="I15" s="24">
        <v>2.2799999999999998</v>
      </c>
      <c r="J15" s="12"/>
    </row>
    <row r="16" spans="1:11" ht="15.9" customHeight="1" x14ac:dyDescent="0.3">
      <c r="A16" s="15">
        <v>701048</v>
      </c>
      <c r="B16" s="22" t="s">
        <v>25</v>
      </c>
      <c r="C16" s="21">
        <v>4011100977624</v>
      </c>
      <c r="D16" s="20" t="s">
        <v>28</v>
      </c>
      <c r="E16" s="11" t="s">
        <v>52</v>
      </c>
      <c r="F16" s="24">
        <v>1.54</v>
      </c>
      <c r="G16" s="24">
        <v>1.62</v>
      </c>
      <c r="H16" s="24">
        <v>1.98</v>
      </c>
      <c r="I16" s="24" t="s">
        <v>486</v>
      </c>
      <c r="J16" s="12"/>
    </row>
    <row r="17" spans="1:10" ht="15.9" customHeight="1" x14ac:dyDescent="0.3">
      <c r="A17" s="15">
        <v>733180</v>
      </c>
      <c r="B17" s="22" t="s">
        <v>25</v>
      </c>
      <c r="C17" s="21">
        <v>4011100091108</v>
      </c>
      <c r="D17" s="20" t="s">
        <v>422</v>
      </c>
      <c r="E17" s="11">
        <v>1.89</v>
      </c>
      <c r="F17" s="24">
        <v>1.75</v>
      </c>
      <c r="G17" s="24">
        <v>1.89</v>
      </c>
      <c r="H17" s="24">
        <v>1.98</v>
      </c>
      <c r="I17" s="24">
        <v>1.98</v>
      </c>
      <c r="J17" s="12"/>
    </row>
    <row r="18" spans="1:10" ht="15.9" customHeight="1" x14ac:dyDescent="0.3">
      <c r="A18" s="15">
        <v>733184</v>
      </c>
      <c r="B18" s="22" t="s">
        <v>25</v>
      </c>
      <c r="C18" s="21">
        <v>4660085515163</v>
      </c>
      <c r="D18" s="20" t="s">
        <v>191</v>
      </c>
      <c r="E18" s="11" t="s">
        <v>40</v>
      </c>
      <c r="F18" s="24">
        <v>2.75</v>
      </c>
      <c r="G18" s="24"/>
      <c r="H18" s="24">
        <v>2.97</v>
      </c>
      <c r="I18" s="24" t="s">
        <v>40</v>
      </c>
      <c r="J18" s="12"/>
    </row>
    <row r="19" spans="1:10" ht="15.9" customHeight="1" x14ac:dyDescent="0.3">
      <c r="A19" s="15">
        <v>733186</v>
      </c>
      <c r="B19" s="22" t="s">
        <v>25</v>
      </c>
      <c r="C19" s="21">
        <v>4607065001445</v>
      </c>
      <c r="D19" s="20" t="s">
        <v>181</v>
      </c>
      <c r="E19" s="11">
        <v>1.84</v>
      </c>
      <c r="F19" s="24">
        <v>1.62</v>
      </c>
      <c r="G19" s="24" t="s">
        <v>47</v>
      </c>
      <c r="H19" s="24" t="s">
        <v>483</v>
      </c>
      <c r="I19" s="24" t="s">
        <v>46</v>
      </c>
      <c r="J19" s="12"/>
    </row>
    <row r="20" spans="1:10" ht="15.9" customHeight="1" x14ac:dyDescent="0.3">
      <c r="A20" s="15">
        <v>384984</v>
      </c>
      <c r="B20" s="22" t="s">
        <v>25</v>
      </c>
      <c r="C20" s="21">
        <v>5000159439480</v>
      </c>
      <c r="D20" s="20" t="s">
        <v>423</v>
      </c>
      <c r="E20" s="11">
        <v>2.97</v>
      </c>
      <c r="F20" s="24">
        <v>2.65</v>
      </c>
      <c r="G20" s="24">
        <v>2.75</v>
      </c>
      <c r="H20" s="24">
        <v>2.97</v>
      </c>
      <c r="I20" s="24" t="s">
        <v>487</v>
      </c>
      <c r="J20" s="12"/>
    </row>
    <row r="21" spans="1:10" ht="15.9" customHeight="1" x14ac:dyDescent="0.3">
      <c r="A21" s="15">
        <v>422788</v>
      </c>
      <c r="B21" s="22" t="s">
        <v>25</v>
      </c>
      <c r="C21" s="21">
        <v>5000159390729</v>
      </c>
      <c r="D21" s="20" t="s">
        <v>171</v>
      </c>
      <c r="E21" s="11">
        <v>2.89</v>
      </c>
      <c r="F21" s="24">
        <v>2.4500000000000002</v>
      </c>
      <c r="G21" s="24">
        <v>2.75</v>
      </c>
      <c r="H21" s="24" t="s">
        <v>488</v>
      </c>
      <c r="I21" s="24">
        <v>2.77</v>
      </c>
      <c r="J21" s="12"/>
    </row>
    <row r="22" spans="1:10" ht="15.9" customHeight="1" x14ac:dyDescent="0.3">
      <c r="A22" s="15">
        <v>732930</v>
      </c>
      <c r="B22" s="22" t="s">
        <v>9</v>
      </c>
      <c r="C22" s="21">
        <v>4810067080855</v>
      </c>
      <c r="D22" s="20" t="s">
        <v>140</v>
      </c>
      <c r="E22" s="11">
        <v>0.75</v>
      </c>
      <c r="F22" s="24"/>
      <c r="G22" s="24">
        <v>0.69</v>
      </c>
      <c r="H22" s="24">
        <v>0.68</v>
      </c>
      <c r="I22" s="24">
        <v>0.68</v>
      </c>
      <c r="J22" s="12"/>
    </row>
    <row r="23" spans="1:10" ht="15.9" customHeight="1" x14ac:dyDescent="0.3">
      <c r="A23" s="15"/>
      <c r="B23" s="22" t="s">
        <v>12</v>
      </c>
      <c r="C23" s="21">
        <v>4600605025611</v>
      </c>
      <c r="D23" s="20" t="s">
        <v>185</v>
      </c>
      <c r="E23" s="11">
        <v>1.43</v>
      </c>
      <c r="F23" s="24"/>
      <c r="G23" s="24"/>
      <c r="H23" s="24"/>
      <c r="I23" s="24"/>
      <c r="J23" s="12"/>
    </row>
    <row r="24" spans="1:10" ht="15.9" customHeight="1" x14ac:dyDescent="0.3">
      <c r="A24" s="15">
        <v>665355</v>
      </c>
      <c r="B24" s="22" t="s">
        <v>12</v>
      </c>
      <c r="C24" s="21">
        <v>4600605025628</v>
      </c>
      <c r="D24" s="20" t="s">
        <v>186</v>
      </c>
      <c r="E24" s="11">
        <v>1.54</v>
      </c>
      <c r="F24" s="24"/>
      <c r="G24" s="24"/>
      <c r="H24" s="24"/>
      <c r="I24" s="24"/>
      <c r="J24" s="12"/>
    </row>
    <row r="25" spans="1:10" ht="15.9" customHeight="1" x14ac:dyDescent="0.3">
      <c r="A25" s="15">
        <v>699040</v>
      </c>
      <c r="B25" s="22" t="s">
        <v>12</v>
      </c>
      <c r="C25" s="21">
        <v>4600605030721</v>
      </c>
      <c r="D25" s="20" t="s">
        <v>243</v>
      </c>
      <c r="E25" s="11">
        <v>1.43</v>
      </c>
      <c r="F25" s="24"/>
      <c r="G25" s="24"/>
      <c r="H25" s="24"/>
      <c r="I25" s="24"/>
      <c r="J25" s="12"/>
    </row>
    <row r="26" spans="1:10" ht="16.5" customHeight="1" x14ac:dyDescent="0.3">
      <c r="A26" s="15">
        <v>418632</v>
      </c>
      <c r="B26" s="22" t="s">
        <v>12</v>
      </c>
      <c r="C26" s="21">
        <v>4600605028971</v>
      </c>
      <c r="D26" s="20" t="s">
        <v>424</v>
      </c>
      <c r="E26" s="11">
        <v>2.4900000000000002</v>
      </c>
      <c r="F26" s="24"/>
      <c r="G26" s="24"/>
      <c r="H26" s="24"/>
      <c r="I26" s="24"/>
      <c r="J26" s="12"/>
    </row>
    <row r="27" spans="1:10" ht="15.9" customHeight="1" x14ac:dyDescent="0.3">
      <c r="A27" s="15"/>
      <c r="B27" s="22" t="s">
        <v>12</v>
      </c>
      <c r="C27" s="21">
        <v>4600605026762</v>
      </c>
      <c r="D27" s="20" t="s">
        <v>230</v>
      </c>
      <c r="E27" s="11">
        <v>2.5499999999999998</v>
      </c>
      <c r="F27" s="24"/>
      <c r="G27" s="24"/>
      <c r="H27" s="24"/>
      <c r="I27" s="24"/>
      <c r="J27" s="12"/>
    </row>
    <row r="28" spans="1:10" ht="15.9" customHeight="1" x14ac:dyDescent="0.3">
      <c r="A28" s="15">
        <v>733254</v>
      </c>
      <c r="B28" s="22" t="s">
        <v>12</v>
      </c>
      <c r="C28" s="21">
        <v>4600605030738</v>
      </c>
      <c r="D28" s="20" t="s">
        <v>244</v>
      </c>
      <c r="E28" s="11">
        <v>1.67</v>
      </c>
      <c r="F28" s="24"/>
      <c r="G28" s="24"/>
      <c r="H28" s="24"/>
      <c r="I28" s="24"/>
      <c r="J28" s="12"/>
    </row>
    <row r="29" spans="1:10" ht="15.9" customHeight="1" x14ac:dyDescent="0.3">
      <c r="A29" s="15">
        <v>733206</v>
      </c>
      <c r="B29" s="22" t="s">
        <v>12</v>
      </c>
      <c r="C29" s="21">
        <v>4600605029756</v>
      </c>
      <c r="D29" s="20" t="s">
        <v>425</v>
      </c>
      <c r="E29" s="11">
        <v>2.4900000000000002</v>
      </c>
      <c r="F29" s="24"/>
      <c r="G29" s="24"/>
      <c r="H29" s="24"/>
      <c r="I29" s="24"/>
      <c r="J29" s="12"/>
    </row>
    <row r="30" spans="1:10" ht="15.9" customHeight="1" x14ac:dyDescent="0.3">
      <c r="A30" s="15">
        <v>733228</v>
      </c>
      <c r="B30" s="22" t="s">
        <v>12</v>
      </c>
      <c r="C30" s="21">
        <v>4811269007749</v>
      </c>
      <c r="D30" s="20" t="s">
        <v>166</v>
      </c>
      <c r="E30" s="11">
        <v>1.44</v>
      </c>
      <c r="F30" s="24">
        <v>1.43</v>
      </c>
      <c r="G30" s="24"/>
      <c r="H30" s="11">
        <v>1.44</v>
      </c>
      <c r="I30" s="11">
        <v>1.44</v>
      </c>
      <c r="J30" s="12"/>
    </row>
    <row r="31" spans="1:10" ht="15.9" customHeight="1" x14ac:dyDescent="0.3">
      <c r="A31" s="15">
        <v>733205</v>
      </c>
      <c r="B31" s="22" t="s">
        <v>12</v>
      </c>
      <c r="C31" s="21">
        <v>4810268041419</v>
      </c>
      <c r="D31" s="20" t="s">
        <v>221</v>
      </c>
      <c r="E31" s="11" t="s">
        <v>414</v>
      </c>
      <c r="F31" s="24">
        <v>1.89</v>
      </c>
      <c r="G31" s="24">
        <v>2.0299999999999998</v>
      </c>
      <c r="H31" s="24">
        <v>1.69</v>
      </c>
      <c r="I31" s="24">
        <v>1.9</v>
      </c>
      <c r="J31" s="12"/>
    </row>
    <row r="32" spans="1:10" ht="15.9" customHeight="1" x14ac:dyDescent="0.3">
      <c r="A32" s="15"/>
      <c r="B32" s="22" t="s">
        <v>12</v>
      </c>
      <c r="C32" s="21">
        <v>4810268041402</v>
      </c>
      <c r="D32" s="20" t="s">
        <v>245</v>
      </c>
      <c r="E32" s="11" t="s">
        <v>49</v>
      </c>
      <c r="F32" s="24">
        <v>1.98</v>
      </c>
      <c r="G32" s="24">
        <v>2.0299999999999998</v>
      </c>
      <c r="H32" s="24">
        <v>1.9</v>
      </c>
      <c r="I32" s="24">
        <v>1.9</v>
      </c>
      <c r="J32" s="12"/>
    </row>
    <row r="33" spans="1:10" ht="15.9" customHeight="1" x14ac:dyDescent="0.3">
      <c r="A33" s="15">
        <v>733284</v>
      </c>
      <c r="B33" s="22" t="s">
        <v>12</v>
      </c>
      <c r="C33" s="21">
        <v>4810268041358</v>
      </c>
      <c r="D33" s="20" t="s">
        <v>219</v>
      </c>
      <c r="E33" s="11" t="s">
        <v>49</v>
      </c>
      <c r="F33" s="24">
        <v>1.9</v>
      </c>
      <c r="G33" s="24">
        <v>2.0299999999999998</v>
      </c>
      <c r="H33" s="24">
        <v>1.9</v>
      </c>
      <c r="I33" s="24">
        <v>1.9</v>
      </c>
      <c r="J33" s="12"/>
    </row>
    <row r="34" spans="1:10" ht="15.9" customHeight="1" x14ac:dyDescent="0.3">
      <c r="A34" s="15">
        <v>733292</v>
      </c>
      <c r="B34" s="22" t="s">
        <v>12</v>
      </c>
      <c r="C34" s="21">
        <v>4810268041389</v>
      </c>
      <c r="D34" s="20" t="s">
        <v>246</v>
      </c>
      <c r="E34" s="11">
        <v>1.92</v>
      </c>
      <c r="F34" s="24"/>
      <c r="G34" s="24"/>
      <c r="H34" s="24"/>
      <c r="I34" s="24"/>
      <c r="J34" s="12"/>
    </row>
    <row r="35" spans="1:10" ht="15.9" customHeight="1" x14ac:dyDescent="0.3">
      <c r="A35" s="15">
        <v>570537</v>
      </c>
      <c r="B35" s="22" t="s">
        <v>12</v>
      </c>
      <c r="C35" s="21">
        <v>4810268041396</v>
      </c>
      <c r="D35" s="20" t="s">
        <v>220</v>
      </c>
      <c r="E35" s="11" t="s">
        <v>49</v>
      </c>
      <c r="F35" s="24">
        <v>1.89</v>
      </c>
      <c r="G35" s="24">
        <v>2.0299999999999998</v>
      </c>
      <c r="H35" s="24">
        <v>1.69</v>
      </c>
      <c r="I35" s="24">
        <v>1.9</v>
      </c>
      <c r="J35" s="12"/>
    </row>
    <row r="36" spans="1:10" ht="15.9" customHeight="1" x14ac:dyDescent="0.3">
      <c r="A36" s="15">
        <v>733280</v>
      </c>
      <c r="B36" s="22" t="s">
        <v>12</v>
      </c>
      <c r="C36" s="21">
        <v>4810099026166</v>
      </c>
      <c r="D36" s="20" t="s">
        <v>247</v>
      </c>
      <c r="E36" s="11">
        <v>1.33</v>
      </c>
      <c r="F36" s="24"/>
      <c r="G36" s="24"/>
      <c r="H36" s="24">
        <v>1.33</v>
      </c>
      <c r="I36" s="24"/>
      <c r="J36" s="12"/>
    </row>
    <row r="37" spans="1:10" ht="15.9" customHeight="1" x14ac:dyDescent="0.3">
      <c r="A37" s="15"/>
      <c r="B37" s="22" t="s">
        <v>458</v>
      </c>
      <c r="C37" s="21">
        <v>4810168049911</v>
      </c>
      <c r="D37" s="20" t="s">
        <v>426</v>
      </c>
      <c r="E37" s="11">
        <v>5.53</v>
      </c>
      <c r="F37" s="24"/>
      <c r="G37" s="24">
        <v>5.49</v>
      </c>
      <c r="H37" s="24">
        <v>5.53</v>
      </c>
      <c r="I37" s="24">
        <v>5.53</v>
      </c>
      <c r="J37" s="12"/>
    </row>
    <row r="38" spans="1:10" ht="15.9" customHeight="1" x14ac:dyDescent="0.3">
      <c r="A38" s="15"/>
      <c r="B38" s="22" t="s">
        <v>8</v>
      </c>
      <c r="C38" s="21">
        <v>4810168049935</v>
      </c>
      <c r="D38" s="20" t="s">
        <v>461</v>
      </c>
      <c r="E38" s="11">
        <v>4.55</v>
      </c>
      <c r="F38" s="24"/>
      <c r="G38" s="24">
        <v>4.55</v>
      </c>
      <c r="H38" s="24">
        <v>4.55</v>
      </c>
      <c r="I38" s="24"/>
      <c r="J38" s="12"/>
    </row>
    <row r="39" spans="1:10" ht="15.9" customHeight="1" x14ac:dyDescent="0.3">
      <c r="A39" s="15">
        <v>733251</v>
      </c>
      <c r="B39" s="22" t="s">
        <v>0</v>
      </c>
      <c r="C39" s="21">
        <v>4810039018718</v>
      </c>
      <c r="D39" s="20" t="s">
        <v>216</v>
      </c>
      <c r="E39" s="11">
        <v>11.34</v>
      </c>
      <c r="F39" s="24">
        <v>11.43</v>
      </c>
      <c r="G39" s="24">
        <v>11.23</v>
      </c>
      <c r="H39" s="24"/>
      <c r="I39" s="24">
        <v>11.72</v>
      </c>
      <c r="J39" s="12"/>
    </row>
    <row r="40" spans="1:10" ht="15.9" customHeight="1" x14ac:dyDescent="0.3">
      <c r="A40" s="15">
        <v>594511</v>
      </c>
      <c r="B40" s="22" t="s">
        <v>10</v>
      </c>
      <c r="C40" s="21">
        <v>10071</v>
      </c>
      <c r="D40" s="20" t="s">
        <v>427</v>
      </c>
      <c r="E40" s="11">
        <v>16.47</v>
      </c>
      <c r="F40" s="24"/>
      <c r="G40" s="24"/>
      <c r="H40" s="24"/>
      <c r="I40" s="24"/>
      <c r="J40" s="12"/>
    </row>
    <row r="41" spans="1:10" ht="15.9" customHeight="1" x14ac:dyDescent="0.3">
      <c r="A41" s="15">
        <v>733251</v>
      </c>
      <c r="B41" s="22" t="s">
        <v>3</v>
      </c>
      <c r="C41" s="21">
        <v>8410300207665</v>
      </c>
      <c r="D41" s="20" t="s">
        <v>248</v>
      </c>
      <c r="E41" s="11">
        <v>3.15</v>
      </c>
      <c r="F41" s="24">
        <v>2.99</v>
      </c>
      <c r="G41" s="24">
        <v>3.55</v>
      </c>
      <c r="H41" s="24"/>
      <c r="I41" s="24">
        <v>2.91</v>
      </c>
      <c r="J41" s="12"/>
    </row>
    <row r="42" spans="1:10" ht="15.9" customHeight="1" x14ac:dyDescent="0.3">
      <c r="A42" s="15"/>
      <c r="B42" s="22" t="s">
        <v>5</v>
      </c>
      <c r="C42" s="21">
        <v>4610214380148</v>
      </c>
      <c r="D42" s="20" t="s">
        <v>468</v>
      </c>
      <c r="E42" s="11">
        <v>2.99</v>
      </c>
      <c r="F42" s="24"/>
      <c r="G42" s="24"/>
      <c r="H42" s="24"/>
      <c r="I42" s="24"/>
      <c r="J42" s="12"/>
    </row>
    <row r="43" spans="1:10" ht="15.9" customHeight="1" x14ac:dyDescent="0.3">
      <c r="A43" s="15">
        <v>733162</v>
      </c>
      <c r="B43" s="22" t="s">
        <v>5</v>
      </c>
      <c r="C43" s="21">
        <v>7322540313369</v>
      </c>
      <c r="D43" s="20" t="s">
        <v>455</v>
      </c>
      <c r="E43" s="11">
        <v>4.8899999999999997</v>
      </c>
      <c r="F43" s="24"/>
      <c r="G43" s="24">
        <v>4.47</v>
      </c>
      <c r="H43" s="24">
        <v>5.24</v>
      </c>
      <c r="I43" s="24"/>
      <c r="J43" s="12"/>
    </row>
    <row r="44" spans="1:10" ht="15.9" customHeight="1" x14ac:dyDescent="0.3">
      <c r="A44" s="15">
        <v>661707</v>
      </c>
      <c r="B44" s="22" t="s">
        <v>5</v>
      </c>
      <c r="C44" s="21">
        <v>4607023329697</v>
      </c>
      <c r="D44" s="20" t="s">
        <v>410</v>
      </c>
      <c r="E44" s="11">
        <v>1.95</v>
      </c>
      <c r="F44" s="24"/>
      <c r="G44" s="24">
        <v>1.69</v>
      </c>
      <c r="H44" s="24">
        <v>1.86</v>
      </c>
      <c r="I44" s="24"/>
      <c r="J44" s="12"/>
    </row>
    <row r="45" spans="1:10" ht="15.9" customHeight="1" x14ac:dyDescent="0.3">
      <c r="A45" s="15">
        <v>661707</v>
      </c>
      <c r="B45" s="22" t="s">
        <v>5</v>
      </c>
      <c r="C45" s="21">
        <v>4640043100471</v>
      </c>
      <c r="D45" s="20" t="s">
        <v>411</v>
      </c>
      <c r="E45" s="11">
        <v>4.1900000000000004</v>
      </c>
      <c r="F45" s="24">
        <v>3.51</v>
      </c>
      <c r="G45" s="24"/>
      <c r="H45" s="24">
        <v>3.82</v>
      </c>
      <c r="I45" s="24"/>
      <c r="J45" s="12"/>
    </row>
    <row r="46" spans="1:10" ht="15.9" customHeight="1" x14ac:dyDescent="0.3">
      <c r="A46" s="15">
        <v>700959</v>
      </c>
      <c r="B46" s="22" t="s">
        <v>459</v>
      </c>
      <c r="C46" s="21">
        <v>4810168036836</v>
      </c>
      <c r="D46" s="20" t="s">
        <v>428</v>
      </c>
      <c r="E46" s="11" t="s">
        <v>155</v>
      </c>
      <c r="F46" s="24">
        <v>3.71</v>
      </c>
      <c r="G46" s="24">
        <v>3.34</v>
      </c>
      <c r="H46" s="24"/>
      <c r="I46" s="24"/>
      <c r="J46" s="12"/>
    </row>
    <row r="47" spans="1:10" ht="15.9" customHeight="1" x14ac:dyDescent="0.3">
      <c r="A47" s="15">
        <v>733063</v>
      </c>
      <c r="B47" s="22" t="s">
        <v>11</v>
      </c>
      <c r="C47" s="21">
        <v>4604075039123</v>
      </c>
      <c r="D47" s="20" t="s">
        <v>165</v>
      </c>
      <c r="E47" s="11">
        <v>8.89</v>
      </c>
      <c r="F47" s="24"/>
      <c r="G47" s="24"/>
      <c r="H47" s="24"/>
      <c r="I47" s="24"/>
      <c r="J47" s="12"/>
    </row>
    <row r="48" spans="1:10" ht="15.9" customHeight="1" x14ac:dyDescent="0.3">
      <c r="A48" s="15">
        <v>733066</v>
      </c>
      <c r="B48" s="22" t="s">
        <v>194</v>
      </c>
      <c r="C48" s="21">
        <v>4810128007074</v>
      </c>
      <c r="D48" s="20" t="s">
        <v>249</v>
      </c>
      <c r="E48" s="11">
        <v>2.21</v>
      </c>
      <c r="F48" s="24" t="s">
        <v>489</v>
      </c>
      <c r="G48" s="24">
        <v>1.96</v>
      </c>
      <c r="H48" s="24" t="s">
        <v>481</v>
      </c>
      <c r="I48" s="24">
        <v>2.38</v>
      </c>
      <c r="J48" s="12"/>
    </row>
    <row r="49" spans="1:10" ht="15.9" customHeight="1" x14ac:dyDescent="0.3">
      <c r="A49" s="15">
        <v>733266</v>
      </c>
      <c r="B49" s="22" t="s">
        <v>194</v>
      </c>
      <c r="C49" s="21">
        <v>4650062772870</v>
      </c>
      <c r="D49" s="20" t="s">
        <v>250</v>
      </c>
      <c r="E49" s="11">
        <v>2.2000000000000002</v>
      </c>
      <c r="F49" s="24"/>
      <c r="G49" s="24" t="s">
        <v>47</v>
      </c>
      <c r="H49" s="24"/>
      <c r="I49" s="24">
        <v>2.44</v>
      </c>
      <c r="J49" s="12"/>
    </row>
    <row r="50" spans="1:10" ht="15.9" customHeight="1" x14ac:dyDescent="0.3">
      <c r="A50" s="15"/>
      <c r="B50" s="22" t="s">
        <v>194</v>
      </c>
      <c r="C50" s="21">
        <v>4650062772887</v>
      </c>
      <c r="D50" s="20" t="s">
        <v>429</v>
      </c>
      <c r="E50" s="11" t="s">
        <v>156</v>
      </c>
      <c r="F50" s="24"/>
      <c r="G50" s="24"/>
      <c r="H50" s="24"/>
      <c r="I50" s="24"/>
      <c r="J50" s="12"/>
    </row>
    <row r="51" spans="1:10" ht="15.9" customHeight="1" x14ac:dyDescent="0.3">
      <c r="A51" s="15">
        <v>448417</v>
      </c>
      <c r="B51" s="22" t="s">
        <v>194</v>
      </c>
      <c r="C51" s="21">
        <v>4810067080756</v>
      </c>
      <c r="D51" s="20" t="s">
        <v>251</v>
      </c>
      <c r="E51" s="11">
        <v>1.04</v>
      </c>
      <c r="F51" s="24"/>
      <c r="G51" s="24">
        <v>0.95</v>
      </c>
      <c r="H51" s="24" t="s">
        <v>491</v>
      </c>
      <c r="I51" s="24"/>
      <c r="J51" s="12"/>
    </row>
    <row r="52" spans="1:10" ht="15.9" customHeight="1" x14ac:dyDescent="0.3">
      <c r="A52" s="15">
        <v>733193</v>
      </c>
      <c r="B52" s="22" t="s">
        <v>194</v>
      </c>
      <c r="C52" s="21">
        <v>4810067081890</v>
      </c>
      <c r="D52" s="20" t="s">
        <v>141</v>
      </c>
      <c r="E52" s="11">
        <v>2.91</v>
      </c>
      <c r="F52" s="24">
        <v>2.48</v>
      </c>
      <c r="G52" s="24"/>
      <c r="H52" s="24">
        <v>2.8</v>
      </c>
      <c r="I52" s="24">
        <v>3</v>
      </c>
      <c r="J52" s="12"/>
    </row>
    <row r="53" spans="1:10" ht="15.9" customHeight="1" x14ac:dyDescent="0.3">
      <c r="A53" s="15">
        <v>733261</v>
      </c>
      <c r="B53" s="22" t="s">
        <v>194</v>
      </c>
      <c r="C53" s="21">
        <v>4607015234497</v>
      </c>
      <c r="D53" s="20" t="s">
        <v>17</v>
      </c>
      <c r="E53" s="11">
        <v>2.19</v>
      </c>
      <c r="F53" s="24">
        <v>2.59</v>
      </c>
      <c r="G53" s="24">
        <v>2.38</v>
      </c>
      <c r="H53" s="24"/>
      <c r="I53" s="24">
        <v>2.83</v>
      </c>
      <c r="J53" s="12"/>
    </row>
    <row r="54" spans="1:10" ht="15.9" customHeight="1" x14ac:dyDescent="0.3">
      <c r="A54" s="15">
        <v>733223</v>
      </c>
      <c r="B54" s="22" t="s">
        <v>0</v>
      </c>
      <c r="C54" s="21">
        <v>5010677922005</v>
      </c>
      <c r="D54" s="20" t="s">
        <v>1</v>
      </c>
      <c r="E54" s="11">
        <v>27.99</v>
      </c>
      <c r="F54" s="24">
        <v>27.98</v>
      </c>
      <c r="G54" s="24"/>
      <c r="H54" s="24">
        <v>26.99</v>
      </c>
      <c r="I54" s="24">
        <v>29.72</v>
      </c>
      <c r="J54" s="12"/>
    </row>
    <row r="55" spans="1:10" ht="15.9" customHeight="1" x14ac:dyDescent="0.3">
      <c r="A55" s="15">
        <v>733267</v>
      </c>
      <c r="B55" s="22" t="s">
        <v>10</v>
      </c>
      <c r="C55" s="21">
        <v>13219</v>
      </c>
      <c r="D55" s="20" t="s">
        <v>368</v>
      </c>
      <c r="E55" s="11">
        <v>16.14</v>
      </c>
      <c r="F55" s="24"/>
      <c r="G55" s="24"/>
      <c r="H55" s="24"/>
      <c r="I55" s="24"/>
      <c r="J55" s="12"/>
    </row>
    <row r="56" spans="1:10" ht="15.9" customHeight="1" x14ac:dyDescent="0.3">
      <c r="A56" s="15">
        <v>474845</v>
      </c>
      <c r="B56" s="22" t="s">
        <v>10</v>
      </c>
      <c r="C56" s="21">
        <v>13220</v>
      </c>
      <c r="D56" s="20" t="s">
        <v>369</v>
      </c>
      <c r="E56" s="11">
        <v>16.670000000000002</v>
      </c>
      <c r="F56" s="24"/>
      <c r="G56" s="24"/>
      <c r="H56" s="24"/>
      <c r="I56" s="24"/>
      <c r="J56" s="12"/>
    </row>
    <row r="57" spans="1:10" ht="15.9" customHeight="1" x14ac:dyDescent="0.3">
      <c r="A57" s="15">
        <v>607775</v>
      </c>
      <c r="B57" s="22" t="s">
        <v>10</v>
      </c>
      <c r="C57" s="21">
        <v>17736</v>
      </c>
      <c r="D57" s="20" t="s">
        <v>370</v>
      </c>
      <c r="E57" s="11">
        <v>15.56</v>
      </c>
      <c r="F57" s="24"/>
      <c r="G57" s="24"/>
      <c r="H57" s="24"/>
      <c r="I57" s="24"/>
      <c r="J57" s="12"/>
    </row>
    <row r="58" spans="1:10" ht="15.9" customHeight="1" x14ac:dyDescent="0.3">
      <c r="A58" s="15">
        <v>733260</v>
      </c>
      <c r="B58" s="22" t="s">
        <v>10</v>
      </c>
      <c r="C58" s="21">
        <v>4813186010536</v>
      </c>
      <c r="D58" s="20" t="s">
        <v>371</v>
      </c>
      <c r="E58" s="11">
        <v>4.3499999999999996</v>
      </c>
      <c r="F58" s="24">
        <v>4.34</v>
      </c>
      <c r="G58" s="24">
        <v>4.3499999999999996</v>
      </c>
      <c r="H58" s="24"/>
      <c r="I58" s="24">
        <v>4.3499999999999996</v>
      </c>
      <c r="J58" s="12"/>
    </row>
    <row r="59" spans="1:10" ht="15.9" customHeight="1" x14ac:dyDescent="0.3">
      <c r="A59" s="15">
        <v>733081</v>
      </c>
      <c r="B59" s="22" t="s">
        <v>10</v>
      </c>
      <c r="C59" s="21">
        <v>18335</v>
      </c>
      <c r="D59" s="20" t="s">
        <v>430</v>
      </c>
      <c r="E59" s="11" t="s">
        <v>189</v>
      </c>
      <c r="F59" s="24"/>
      <c r="G59" s="24"/>
      <c r="H59" s="24"/>
      <c r="I59" s="24"/>
      <c r="J59" s="12"/>
    </row>
    <row r="60" spans="1:10" ht="15.9" customHeight="1" x14ac:dyDescent="0.3">
      <c r="A60" s="15"/>
      <c r="B60" s="22" t="s">
        <v>0</v>
      </c>
      <c r="C60" s="21">
        <v>4810025004626</v>
      </c>
      <c r="D60" s="20" t="s">
        <v>252</v>
      </c>
      <c r="E60" s="11">
        <v>5.79</v>
      </c>
      <c r="F60" s="24">
        <v>5.89</v>
      </c>
      <c r="G60" s="24"/>
      <c r="H60" s="24">
        <v>7.44</v>
      </c>
      <c r="I60" s="24">
        <v>7.59</v>
      </c>
      <c r="J60" s="12"/>
    </row>
    <row r="61" spans="1:10" ht="15.9" customHeight="1" x14ac:dyDescent="0.3">
      <c r="A61" s="15">
        <v>733082</v>
      </c>
      <c r="B61" s="22" t="s">
        <v>0</v>
      </c>
      <c r="C61" s="21">
        <v>4810738005521</v>
      </c>
      <c r="D61" s="20" t="s">
        <v>253</v>
      </c>
      <c r="E61" s="11">
        <v>8.75</v>
      </c>
      <c r="F61" s="24">
        <v>6.99</v>
      </c>
      <c r="G61" s="24">
        <v>7.49</v>
      </c>
      <c r="H61" s="24">
        <v>6.89</v>
      </c>
      <c r="I61" s="24">
        <v>8.75</v>
      </c>
      <c r="J61" s="12"/>
    </row>
    <row r="62" spans="1:10" ht="15.75" customHeight="1" x14ac:dyDescent="0.3">
      <c r="A62" s="15">
        <v>11665</v>
      </c>
      <c r="B62" s="22" t="s">
        <v>0</v>
      </c>
      <c r="C62" s="21">
        <v>4813852002872</v>
      </c>
      <c r="D62" s="20" t="s">
        <v>254</v>
      </c>
      <c r="E62" s="11">
        <v>11.29</v>
      </c>
      <c r="F62" s="24">
        <v>10.79</v>
      </c>
      <c r="G62" s="24">
        <v>10.99</v>
      </c>
      <c r="H62" s="24">
        <v>12.99</v>
      </c>
      <c r="I62" s="24">
        <v>11.99</v>
      </c>
      <c r="J62" s="12"/>
    </row>
    <row r="63" spans="1:10" ht="15.75" customHeight="1" x14ac:dyDescent="0.3">
      <c r="A63" s="15">
        <v>454491</v>
      </c>
      <c r="B63" s="22" t="s">
        <v>0</v>
      </c>
      <c r="C63" s="21">
        <v>4813852002018</v>
      </c>
      <c r="D63" s="20" t="s">
        <v>207</v>
      </c>
      <c r="E63" s="11">
        <v>7.29</v>
      </c>
      <c r="F63" s="24">
        <v>7.28</v>
      </c>
      <c r="G63" s="24">
        <v>7.29</v>
      </c>
      <c r="H63" s="24">
        <v>8.36</v>
      </c>
      <c r="I63" s="24">
        <v>8.5299999999999994</v>
      </c>
      <c r="J63" s="12"/>
    </row>
    <row r="64" spans="1:10" ht="15.9" customHeight="1" x14ac:dyDescent="0.3">
      <c r="A64" s="15">
        <v>733047</v>
      </c>
      <c r="B64" s="22" t="s">
        <v>0</v>
      </c>
      <c r="C64" s="21">
        <v>4813852002032</v>
      </c>
      <c r="D64" s="20" t="s">
        <v>208</v>
      </c>
      <c r="E64" s="11">
        <v>7.29</v>
      </c>
      <c r="F64" s="24">
        <v>6.98</v>
      </c>
      <c r="G64" s="24">
        <v>6.99</v>
      </c>
      <c r="H64" s="24">
        <v>8.36</v>
      </c>
      <c r="I64" s="24">
        <v>8.5299999999999994</v>
      </c>
      <c r="J64" s="12"/>
    </row>
    <row r="65" spans="1:10" ht="15.9" customHeight="1" x14ac:dyDescent="0.3">
      <c r="A65" s="15">
        <v>733008</v>
      </c>
      <c r="B65" s="22" t="s">
        <v>0</v>
      </c>
      <c r="C65" s="21">
        <v>4860108630457</v>
      </c>
      <c r="D65" s="20" t="s">
        <v>201</v>
      </c>
      <c r="E65" s="11">
        <v>26.99</v>
      </c>
      <c r="F65" s="24">
        <v>19.989999999999998</v>
      </c>
      <c r="G65" s="24">
        <v>26.99</v>
      </c>
      <c r="H65" s="24"/>
      <c r="I65" s="24">
        <v>28.04</v>
      </c>
      <c r="J65" s="12"/>
    </row>
    <row r="66" spans="1:10" ht="15.9" customHeight="1" x14ac:dyDescent="0.3">
      <c r="A66" s="15">
        <v>571637</v>
      </c>
      <c r="B66" s="22" t="s">
        <v>0</v>
      </c>
      <c r="C66" s="21">
        <v>3263286301323</v>
      </c>
      <c r="D66" s="20" t="s">
        <v>205</v>
      </c>
      <c r="E66" s="11">
        <v>29.99</v>
      </c>
      <c r="F66" s="24">
        <v>29.99</v>
      </c>
      <c r="G66" s="24">
        <v>23.77</v>
      </c>
      <c r="H66" s="24"/>
      <c r="I66" s="24">
        <v>25.99</v>
      </c>
      <c r="J66" s="12"/>
    </row>
    <row r="67" spans="1:10" ht="15.9" customHeight="1" x14ac:dyDescent="0.3">
      <c r="A67" s="15">
        <v>647318</v>
      </c>
      <c r="B67" s="22" t="s">
        <v>0</v>
      </c>
      <c r="C67" s="21">
        <v>3263286346683</v>
      </c>
      <c r="D67" s="20" t="s">
        <v>203</v>
      </c>
      <c r="E67" s="11">
        <v>29.99</v>
      </c>
      <c r="F67" s="24">
        <v>28.99</v>
      </c>
      <c r="G67" s="24"/>
      <c r="H67" s="24">
        <v>28.5</v>
      </c>
      <c r="I67" s="24">
        <v>29.05</v>
      </c>
      <c r="J67" s="12"/>
    </row>
    <row r="68" spans="1:10" ht="15.9" customHeight="1" x14ac:dyDescent="0.3">
      <c r="A68" s="15">
        <v>733151</v>
      </c>
      <c r="B68" s="22" t="s">
        <v>0</v>
      </c>
      <c r="C68" s="21">
        <v>3263286321284</v>
      </c>
      <c r="D68" s="20" t="s">
        <v>255</v>
      </c>
      <c r="E68" s="11">
        <v>29.99</v>
      </c>
      <c r="F68" s="24">
        <v>29.99</v>
      </c>
      <c r="G68" s="24"/>
      <c r="H68" s="24">
        <v>29.95</v>
      </c>
      <c r="I68" s="24">
        <v>30.53</v>
      </c>
      <c r="J68" s="12"/>
    </row>
    <row r="69" spans="1:10" ht="15.9" customHeight="1" x14ac:dyDescent="0.3">
      <c r="A69" s="15">
        <v>656510</v>
      </c>
      <c r="B69" s="22" t="s">
        <v>0</v>
      </c>
      <c r="C69" s="21">
        <v>3500610033346</v>
      </c>
      <c r="D69" s="20" t="s">
        <v>256</v>
      </c>
      <c r="E69" s="11">
        <v>29.99</v>
      </c>
      <c r="F69" s="24"/>
      <c r="G69" s="24">
        <v>23.77</v>
      </c>
      <c r="H69" s="24">
        <v>29.95</v>
      </c>
      <c r="I69" s="24">
        <v>30.53</v>
      </c>
      <c r="J69" s="12"/>
    </row>
    <row r="70" spans="1:10" ht="15.9" customHeight="1" x14ac:dyDescent="0.3">
      <c r="A70" s="15">
        <v>733091</v>
      </c>
      <c r="B70" s="22" t="s">
        <v>0</v>
      </c>
      <c r="C70" s="21">
        <v>8008900007541</v>
      </c>
      <c r="D70" s="20" t="s">
        <v>257</v>
      </c>
      <c r="E70" s="11">
        <v>34.99</v>
      </c>
      <c r="F70" s="24">
        <v>34.99</v>
      </c>
      <c r="G70" s="24">
        <v>32.99</v>
      </c>
      <c r="H70" s="24">
        <v>33.090000000000003</v>
      </c>
      <c r="I70" s="24">
        <v>35.909999999999997</v>
      </c>
      <c r="J70" s="12"/>
    </row>
    <row r="71" spans="1:10" ht="15.9" customHeight="1" x14ac:dyDescent="0.3">
      <c r="A71" s="15">
        <v>709721</v>
      </c>
      <c r="B71" s="22" t="s">
        <v>0</v>
      </c>
      <c r="C71" s="21">
        <v>8005400004049</v>
      </c>
      <c r="D71" s="20" t="s">
        <v>477</v>
      </c>
      <c r="E71" s="11">
        <v>23.99</v>
      </c>
      <c r="F71" s="24"/>
      <c r="G71" s="24"/>
      <c r="H71" s="24">
        <v>24.55</v>
      </c>
      <c r="I71" s="24"/>
      <c r="J71" s="12"/>
    </row>
    <row r="72" spans="1:10" ht="15.9" customHeight="1" x14ac:dyDescent="0.3">
      <c r="A72" s="15">
        <v>733086</v>
      </c>
      <c r="B72" s="22" t="s">
        <v>0</v>
      </c>
      <c r="C72" s="21">
        <v>8436000245110</v>
      </c>
      <c r="D72" s="20" t="s">
        <v>204</v>
      </c>
      <c r="E72" s="11">
        <v>16.29</v>
      </c>
      <c r="F72" s="24"/>
      <c r="G72" s="24">
        <v>16.829999999999998</v>
      </c>
      <c r="H72" s="24">
        <v>16.329999999999998</v>
      </c>
      <c r="I72" s="24"/>
      <c r="J72" s="12"/>
    </row>
    <row r="73" spans="1:10" ht="15.9" customHeight="1" x14ac:dyDescent="0.3">
      <c r="A73" s="15">
        <v>733087</v>
      </c>
      <c r="B73" s="22" t="s">
        <v>0</v>
      </c>
      <c r="C73" s="21">
        <v>8436000245097</v>
      </c>
      <c r="D73" s="20" t="s">
        <v>202</v>
      </c>
      <c r="E73" s="11">
        <v>16.29</v>
      </c>
      <c r="F73" s="24">
        <v>15.99</v>
      </c>
      <c r="G73" s="24">
        <v>16.829999999999998</v>
      </c>
      <c r="H73" s="24">
        <v>16.329999999999998</v>
      </c>
      <c r="I73" s="24">
        <v>16.649999999999999</v>
      </c>
      <c r="J73" s="12"/>
    </row>
    <row r="74" spans="1:10" ht="15.9" customHeight="1" x14ac:dyDescent="0.3">
      <c r="A74" s="15">
        <v>117978</v>
      </c>
      <c r="B74" s="22" t="s">
        <v>0</v>
      </c>
      <c r="C74" s="21">
        <v>8436000245103</v>
      </c>
      <c r="D74" s="20" t="s">
        <v>192</v>
      </c>
      <c r="E74" s="11">
        <v>15.99</v>
      </c>
      <c r="F74" s="24"/>
      <c r="G74" s="24">
        <v>16.829999999999998</v>
      </c>
      <c r="H74" s="24">
        <v>16.329999999999998</v>
      </c>
      <c r="I74" s="24"/>
      <c r="J74" s="12"/>
    </row>
    <row r="75" spans="1:10" ht="15.9" customHeight="1" x14ac:dyDescent="0.3">
      <c r="A75" s="15">
        <v>604701</v>
      </c>
      <c r="B75" s="22" t="s">
        <v>0</v>
      </c>
      <c r="C75" s="21">
        <v>8410492000587</v>
      </c>
      <c r="D75" s="20" t="s">
        <v>258</v>
      </c>
      <c r="E75" s="11">
        <v>12.99</v>
      </c>
      <c r="F75" s="24"/>
      <c r="G75" s="24"/>
      <c r="H75" s="24"/>
      <c r="I75" s="24"/>
      <c r="J75" s="12"/>
    </row>
    <row r="76" spans="1:10" ht="15.9" customHeight="1" x14ac:dyDescent="0.3">
      <c r="A76" s="15">
        <v>733143</v>
      </c>
      <c r="B76" s="22" t="s">
        <v>0</v>
      </c>
      <c r="C76" s="21">
        <v>8410492000365</v>
      </c>
      <c r="D76" s="20" t="s">
        <v>175</v>
      </c>
      <c r="E76" s="11">
        <v>12.99</v>
      </c>
      <c r="F76" s="24"/>
      <c r="G76" s="24"/>
      <c r="H76" s="24"/>
      <c r="I76" s="24"/>
      <c r="J76" s="12"/>
    </row>
    <row r="77" spans="1:10" ht="15.9" customHeight="1" x14ac:dyDescent="0.3">
      <c r="A77" s="15">
        <v>6393</v>
      </c>
      <c r="B77" s="22" t="s">
        <v>0</v>
      </c>
      <c r="C77" s="21">
        <v>4840013003652</v>
      </c>
      <c r="D77" s="20" t="s">
        <v>259</v>
      </c>
      <c r="E77" s="11">
        <v>14.99</v>
      </c>
      <c r="F77" s="24">
        <v>15.99</v>
      </c>
      <c r="G77" s="24"/>
      <c r="H77" s="24">
        <v>15.29</v>
      </c>
      <c r="I77" s="24"/>
      <c r="J77" s="12"/>
    </row>
    <row r="78" spans="1:10" ht="15.9" customHeight="1" x14ac:dyDescent="0.3">
      <c r="A78" s="15">
        <v>602295</v>
      </c>
      <c r="B78" s="22" t="s">
        <v>0</v>
      </c>
      <c r="C78" s="21">
        <v>4840013003669</v>
      </c>
      <c r="D78" s="20" t="s">
        <v>260</v>
      </c>
      <c r="E78" s="11">
        <v>14.99</v>
      </c>
      <c r="F78" s="24">
        <v>15.99</v>
      </c>
      <c r="G78" s="24">
        <v>14.99</v>
      </c>
      <c r="H78" s="24"/>
      <c r="I78" s="24"/>
      <c r="J78" s="12"/>
    </row>
    <row r="79" spans="1:10" ht="15.75" customHeight="1" x14ac:dyDescent="0.3">
      <c r="A79" s="15">
        <v>582753</v>
      </c>
      <c r="B79" s="22" t="s">
        <v>0</v>
      </c>
      <c r="C79" s="21">
        <v>4810738010525</v>
      </c>
      <c r="D79" s="20" t="s">
        <v>261</v>
      </c>
      <c r="E79" s="11">
        <v>8.2899999999999991</v>
      </c>
      <c r="F79" s="24">
        <v>7.99</v>
      </c>
      <c r="G79" s="24"/>
      <c r="H79" s="24">
        <v>9.07</v>
      </c>
      <c r="I79" s="24"/>
      <c r="J79" s="12"/>
    </row>
    <row r="80" spans="1:10" ht="15.9" customHeight="1" x14ac:dyDescent="0.3">
      <c r="A80" s="15">
        <v>733085</v>
      </c>
      <c r="B80" s="22" t="s">
        <v>0</v>
      </c>
      <c r="C80" s="21">
        <v>8005890803795</v>
      </c>
      <c r="D80" s="20" t="s">
        <v>262</v>
      </c>
      <c r="E80" s="11">
        <v>13.99</v>
      </c>
      <c r="F80" s="24"/>
      <c r="G80" s="24"/>
      <c r="H80" s="24"/>
      <c r="I80" s="24">
        <v>18.29</v>
      </c>
      <c r="J80" s="12"/>
    </row>
    <row r="81" spans="1:10" ht="15.9" customHeight="1" x14ac:dyDescent="0.3">
      <c r="A81" s="15">
        <v>191889</v>
      </c>
      <c r="B81" s="22" t="s">
        <v>0</v>
      </c>
      <c r="C81" s="21">
        <v>8005890803818</v>
      </c>
      <c r="D81" s="20" t="s">
        <v>263</v>
      </c>
      <c r="E81" s="11">
        <v>13.99</v>
      </c>
      <c r="F81" s="24"/>
      <c r="G81" s="24">
        <v>15.1</v>
      </c>
      <c r="H81" s="24">
        <v>17.940000000000001</v>
      </c>
      <c r="I81" s="24">
        <v>18.29</v>
      </c>
      <c r="J81" s="12"/>
    </row>
    <row r="82" spans="1:10" ht="15.9" customHeight="1" x14ac:dyDescent="0.3">
      <c r="A82" s="15">
        <v>733032</v>
      </c>
      <c r="B82" s="22" t="s">
        <v>0</v>
      </c>
      <c r="C82" s="21">
        <v>8410702001038</v>
      </c>
      <c r="D82" s="20" t="s">
        <v>264</v>
      </c>
      <c r="E82" s="11">
        <v>18.989999999999998</v>
      </c>
      <c r="F82" s="24">
        <v>18.989999999999998</v>
      </c>
      <c r="G82" s="24">
        <v>17.989999999999998</v>
      </c>
      <c r="H82" s="24">
        <v>16.989999999999998</v>
      </c>
      <c r="I82" s="24"/>
      <c r="J82" s="12"/>
    </row>
    <row r="83" spans="1:10" ht="15.9" customHeight="1" x14ac:dyDescent="0.3">
      <c r="A83" s="15">
        <v>571804</v>
      </c>
      <c r="B83" s="22" t="s">
        <v>0</v>
      </c>
      <c r="C83" s="21">
        <v>8410702001014</v>
      </c>
      <c r="D83" s="20" t="s">
        <v>265</v>
      </c>
      <c r="E83" s="11">
        <v>18.989999999999998</v>
      </c>
      <c r="F83" s="24"/>
      <c r="G83" s="24">
        <v>17.989999999999998</v>
      </c>
      <c r="H83" s="24">
        <v>22.07</v>
      </c>
      <c r="I83" s="24"/>
      <c r="J83" s="12"/>
    </row>
    <row r="84" spans="1:10" ht="15.9" customHeight="1" x14ac:dyDescent="0.3">
      <c r="A84" s="15">
        <v>117393</v>
      </c>
      <c r="B84" s="22" t="s">
        <v>0</v>
      </c>
      <c r="C84" s="21">
        <v>4810738005491</v>
      </c>
      <c r="D84" s="20" t="s">
        <v>174</v>
      </c>
      <c r="E84" s="11">
        <v>8.99</v>
      </c>
      <c r="F84" s="24">
        <v>6.98</v>
      </c>
      <c r="G84" s="24">
        <v>7.99</v>
      </c>
      <c r="H84" s="24">
        <v>9.3699999999999992</v>
      </c>
      <c r="I84" s="24">
        <v>8.75</v>
      </c>
      <c r="J84" s="12"/>
    </row>
    <row r="85" spans="1:10" ht="15.9" customHeight="1" x14ac:dyDescent="0.3">
      <c r="A85" s="15">
        <v>647317</v>
      </c>
      <c r="B85" s="22" t="s">
        <v>0</v>
      </c>
      <c r="C85" s="21">
        <v>4810738010013</v>
      </c>
      <c r="D85" s="20" t="s">
        <v>162</v>
      </c>
      <c r="E85" s="11">
        <v>7.49</v>
      </c>
      <c r="F85" s="24">
        <v>7.48</v>
      </c>
      <c r="G85" s="24">
        <v>8.09</v>
      </c>
      <c r="H85" s="24">
        <v>6.79</v>
      </c>
      <c r="I85" s="24">
        <v>8.2100000000000009</v>
      </c>
      <c r="J85" s="12"/>
    </row>
    <row r="86" spans="1:10" ht="15.9" customHeight="1" x14ac:dyDescent="0.3">
      <c r="A86" s="15">
        <v>733084</v>
      </c>
      <c r="B86" s="22" t="s">
        <v>0</v>
      </c>
      <c r="C86" s="21">
        <v>8410744011590</v>
      </c>
      <c r="D86" s="20" t="s">
        <v>266</v>
      </c>
      <c r="E86" s="11">
        <v>19.989999999999998</v>
      </c>
      <c r="F86" s="24">
        <v>21.99</v>
      </c>
      <c r="G86" s="24"/>
      <c r="H86" s="24">
        <v>18.89</v>
      </c>
      <c r="I86" s="24">
        <v>21.02</v>
      </c>
      <c r="J86" s="12"/>
    </row>
    <row r="87" spans="1:10" ht="15.9" customHeight="1" x14ac:dyDescent="0.3">
      <c r="A87" s="15">
        <v>733088</v>
      </c>
      <c r="B87" s="22" t="s">
        <v>0</v>
      </c>
      <c r="C87" s="21">
        <v>8410744008675</v>
      </c>
      <c r="D87" s="20" t="s">
        <v>267</v>
      </c>
      <c r="E87" s="11">
        <v>19.989999999999998</v>
      </c>
      <c r="F87" s="24"/>
      <c r="G87" s="24"/>
      <c r="H87" s="24">
        <v>20.62</v>
      </c>
      <c r="I87" s="24"/>
      <c r="J87" s="12"/>
    </row>
    <row r="88" spans="1:10" ht="15.9" customHeight="1" x14ac:dyDescent="0.3">
      <c r="A88" s="15">
        <v>220349</v>
      </c>
      <c r="B88" s="22" t="s">
        <v>0</v>
      </c>
      <c r="C88" s="21">
        <v>4810025005838</v>
      </c>
      <c r="D88" s="20" t="s">
        <v>268</v>
      </c>
      <c r="E88" s="11">
        <v>5.99</v>
      </c>
      <c r="F88" s="24">
        <v>6.19</v>
      </c>
      <c r="G88" s="24"/>
      <c r="H88" s="24">
        <v>7.74</v>
      </c>
      <c r="I88" s="24">
        <v>5.99</v>
      </c>
      <c r="J88" s="12"/>
    </row>
    <row r="89" spans="1:10" ht="15.75" customHeight="1" x14ac:dyDescent="0.3">
      <c r="A89" s="15">
        <v>653303</v>
      </c>
      <c r="B89" s="22" t="s">
        <v>0</v>
      </c>
      <c r="C89" s="21">
        <v>8007880599107</v>
      </c>
      <c r="D89" s="20" t="s">
        <v>206</v>
      </c>
      <c r="E89" s="11">
        <v>17.989999999999998</v>
      </c>
      <c r="F89" s="24">
        <v>19.989999999999998</v>
      </c>
      <c r="G89" s="24">
        <v>22.49</v>
      </c>
      <c r="H89" s="24">
        <v>19.28</v>
      </c>
      <c r="I89" s="24"/>
      <c r="J89" s="12"/>
    </row>
    <row r="90" spans="1:10" ht="15.9" customHeight="1" x14ac:dyDescent="0.3">
      <c r="A90" s="15">
        <v>733009</v>
      </c>
      <c r="B90" s="22" t="s">
        <v>0</v>
      </c>
      <c r="C90" s="21">
        <v>4811173001925</v>
      </c>
      <c r="D90" s="20" t="s">
        <v>269</v>
      </c>
      <c r="E90" s="11">
        <v>6.4</v>
      </c>
      <c r="F90" s="24"/>
      <c r="G90" s="24"/>
      <c r="H90" s="24">
        <v>6.88</v>
      </c>
      <c r="I90" s="24">
        <v>6.62</v>
      </c>
      <c r="J90" s="12"/>
    </row>
    <row r="91" spans="1:10" ht="15.9" customHeight="1" x14ac:dyDescent="0.3">
      <c r="A91" s="15">
        <v>732982</v>
      </c>
      <c r="B91" s="22" t="s">
        <v>0</v>
      </c>
      <c r="C91" s="21">
        <v>4811173000959</v>
      </c>
      <c r="D91" s="20" t="s">
        <v>270</v>
      </c>
      <c r="E91" s="11">
        <v>4.29</v>
      </c>
      <c r="F91" s="24"/>
      <c r="G91" s="24"/>
      <c r="H91" s="24">
        <v>4.82</v>
      </c>
      <c r="I91" s="24"/>
      <c r="J91" s="12"/>
    </row>
    <row r="92" spans="1:10" ht="15.9" customHeight="1" x14ac:dyDescent="0.3">
      <c r="A92" s="15">
        <v>733124</v>
      </c>
      <c r="B92" s="22" t="s">
        <v>0</v>
      </c>
      <c r="C92" s="21">
        <v>8001651000076</v>
      </c>
      <c r="D92" s="20" t="s">
        <v>271</v>
      </c>
      <c r="E92" s="11">
        <v>13.99</v>
      </c>
      <c r="F92" s="24"/>
      <c r="G92" s="24"/>
      <c r="H92" s="24"/>
      <c r="I92" s="24"/>
      <c r="J92" s="12"/>
    </row>
    <row r="93" spans="1:10" ht="15.9" customHeight="1" x14ac:dyDescent="0.3">
      <c r="A93" s="15">
        <v>733001</v>
      </c>
      <c r="B93" s="22" t="s">
        <v>0</v>
      </c>
      <c r="C93" s="21">
        <v>4810738010631</v>
      </c>
      <c r="D93" s="20" t="s">
        <v>272</v>
      </c>
      <c r="E93" s="11">
        <v>6.99</v>
      </c>
      <c r="F93" s="24">
        <v>7.48</v>
      </c>
      <c r="G93" s="24">
        <v>7.49</v>
      </c>
      <c r="H93" s="24">
        <v>8.7799999999999994</v>
      </c>
      <c r="I93" s="24">
        <v>8.2100000000000009</v>
      </c>
      <c r="J93" s="12"/>
    </row>
    <row r="94" spans="1:10" ht="15.9" customHeight="1" x14ac:dyDescent="0.3">
      <c r="A94" s="15">
        <v>630892</v>
      </c>
      <c r="B94" s="22" t="s">
        <v>0</v>
      </c>
      <c r="C94" s="21">
        <v>4810025005937</v>
      </c>
      <c r="D94" s="20" t="s">
        <v>273</v>
      </c>
      <c r="E94" s="11">
        <v>6.59</v>
      </c>
      <c r="F94" s="24">
        <v>6.78</v>
      </c>
      <c r="G94" s="24"/>
      <c r="H94" s="24">
        <v>6.49</v>
      </c>
      <c r="I94" s="24">
        <v>6.59</v>
      </c>
      <c r="J94" s="12"/>
    </row>
    <row r="95" spans="1:10" ht="15.9" customHeight="1" x14ac:dyDescent="0.3">
      <c r="A95" s="15">
        <v>732983</v>
      </c>
      <c r="B95" s="22" t="s">
        <v>0</v>
      </c>
      <c r="C95" s="21">
        <v>8001651500811</v>
      </c>
      <c r="D95" s="20" t="s">
        <v>274</v>
      </c>
      <c r="E95" s="11">
        <v>12.99</v>
      </c>
      <c r="F95" s="24"/>
      <c r="G95" s="24"/>
      <c r="H95" s="24"/>
      <c r="I95" s="24"/>
      <c r="J95" s="12"/>
    </row>
    <row r="96" spans="1:10" ht="15.9" customHeight="1" x14ac:dyDescent="0.3">
      <c r="A96" s="15">
        <v>633427</v>
      </c>
      <c r="B96" s="22" t="s">
        <v>0</v>
      </c>
      <c r="C96" s="21">
        <v>4860004073358</v>
      </c>
      <c r="D96" s="20" t="s">
        <v>275</v>
      </c>
      <c r="E96" s="11">
        <v>16.89</v>
      </c>
      <c r="F96" s="24">
        <v>17.59</v>
      </c>
      <c r="G96" s="24">
        <v>17.59</v>
      </c>
      <c r="H96" s="24">
        <v>17.350000000000001</v>
      </c>
      <c r="I96" s="24">
        <v>17.690000000000001</v>
      </c>
      <c r="J96" s="12"/>
    </row>
    <row r="97" spans="1:10" ht="15.9" customHeight="1" x14ac:dyDescent="0.3">
      <c r="A97" s="15">
        <v>732978</v>
      </c>
      <c r="B97" s="22" t="s">
        <v>0</v>
      </c>
      <c r="C97" s="21">
        <v>4860004073365</v>
      </c>
      <c r="D97" s="20" t="s">
        <v>276</v>
      </c>
      <c r="E97" s="11">
        <v>17.89</v>
      </c>
      <c r="F97" s="24">
        <v>18.489999999999998</v>
      </c>
      <c r="G97" s="24">
        <v>18.59</v>
      </c>
      <c r="H97" s="24">
        <v>18.350000000000001</v>
      </c>
      <c r="I97" s="24">
        <v>18.7</v>
      </c>
      <c r="J97" s="12"/>
    </row>
    <row r="98" spans="1:10" ht="15.9" customHeight="1" x14ac:dyDescent="0.3">
      <c r="A98" s="15">
        <v>733141</v>
      </c>
      <c r="B98" s="22" t="s">
        <v>0</v>
      </c>
      <c r="C98" s="21">
        <v>4860004070227</v>
      </c>
      <c r="D98" s="20" t="s">
        <v>277</v>
      </c>
      <c r="E98" s="11">
        <v>17.989999999999998</v>
      </c>
      <c r="F98" s="24"/>
      <c r="G98" s="24">
        <v>18.989999999999998</v>
      </c>
      <c r="H98" s="24">
        <v>18.559999999999999</v>
      </c>
      <c r="I98" s="24">
        <v>18.93</v>
      </c>
      <c r="J98" s="12"/>
    </row>
    <row r="99" spans="1:10" ht="15.9" customHeight="1" x14ac:dyDescent="0.3">
      <c r="A99" s="15">
        <v>710465</v>
      </c>
      <c r="B99" s="22" t="s">
        <v>0</v>
      </c>
      <c r="C99" s="21">
        <v>4860004070173</v>
      </c>
      <c r="D99" s="20" t="s">
        <v>278</v>
      </c>
      <c r="E99" s="11">
        <v>21.99</v>
      </c>
      <c r="F99" s="24"/>
      <c r="G99" s="24">
        <v>22.89</v>
      </c>
      <c r="H99" s="24">
        <v>22.93</v>
      </c>
      <c r="I99" s="24">
        <v>23.38</v>
      </c>
      <c r="J99" s="12"/>
    </row>
    <row r="100" spans="1:10" ht="15.9" customHeight="1" x14ac:dyDescent="0.3">
      <c r="A100" s="15">
        <v>662297</v>
      </c>
      <c r="B100" s="22" t="s">
        <v>0</v>
      </c>
      <c r="C100" s="21">
        <v>4810738002698</v>
      </c>
      <c r="D100" s="20" t="s">
        <v>279</v>
      </c>
      <c r="E100" s="11">
        <v>7.99</v>
      </c>
      <c r="F100" s="24">
        <v>6.58</v>
      </c>
      <c r="G100" s="24">
        <v>6.59</v>
      </c>
      <c r="H100" s="24">
        <v>8.14</v>
      </c>
      <c r="I100" s="24">
        <v>7.61</v>
      </c>
      <c r="J100" s="12"/>
    </row>
    <row r="101" spans="1:10" ht="15.9" customHeight="1" x14ac:dyDescent="0.3">
      <c r="A101" s="15">
        <v>645359</v>
      </c>
      <c r="B101" s="22" t="s">
        <v>0</v>
      </c>
      <c r="C101" s="21">
        <v>4810738012451</v>
      </c>
      <c r="D101" s="20" t="s">
        <v>280</v>
      </c>
      <c r="E101" s="11">
        <v>9.39</v>
      </c>
      <c r="F101" s="24"/>
      <c r="G101" s="24">
        <v>9.09</v>
      </c>
      <c r="H101" s="24">
        <v>9.86</v>
      </c>
      <c r="I101" s="24">
        <v>9.23</v>
      </c>
      <c r="J101" s="12"/>
    </row>
    <row r="102" spans="1:10" ht="15.9" customHeight="1" x14ac:dyDescent="0.3">
      <c r="A102" s="15">
        <v>732979</v>
      </c>
      <c r="B102" s="22" t="s">
        <v>0</v>
      </c>
      <c r="C102" s="21">
        <v>8001651000069</v>
      </c>
      <c r="D102" s="20" t="s">
        <v>281</v>
      </c>
      <c r="E102" s="11">
        <v>14.99</v>
      </c>
      <c r="F102" s="24"/>
      <c r="G102" s="24"/>
      <c r="H102" s="24"/>
      <c r="I102" s="24"/>
      <c r="J102" s="12"/>
    </row>
    <row r="103" spans="1:10" ht="15.9" customHeight="1" x14ac:dyDescent="0.3">
      <c r="A103" s="15">
        <v>554508</v>
      </c>
      <c r="B103" s="22" t="s">
        <v>0</v>
      </c>
      <c r="C103" s="21">
        <v>8412176000265</v>
      </c>
      <c r="D103" s="20" t="s">
        <v>282</v>
      </c>
      <c r="E103" s="11">
        <v>18.989999999999998</v>
      </c>
      <c r="F103" s="24">
        <v>18.989999999999998</v>
      </c>
      <c r="G103" s="24"/>
      <c r="H103" s="24">
        <v>22.5</v>
      </c>
      <c r="I103" s="24">
        <v>22.93</v>
      </c>
      <c r="J103" s="12"/>
    </row>
    <row r="104" spans="1:10" ht="15.9" customHeight="1" x14ac:dyDescent="0.3">
      <c r="A104" s="15">
        <v>733164</v>
      </c>
      <c r="B104" s="22" t="s">
        <v>0</v>
      </c>
      <c r="C104" s="21">
        <v>8412176000289</v>
      </c>
      <c r="D104" s="20" t="s">
        <v>283</v>
      </c>
      <c r="E104" s="11">
        <v>18.989999999999998</v>
      </c>
      <c r="F104" s="24"/>
      <c r="G104" s="24"/>
      <c r="H104" s="24"/>
      <c r="I104" s="24">
        <v>21.92</v>
      </c>
      <c r="J104" s="12"/>
    </row>
    <row r="105" spans="1:10" ht="15.9" customHeight="1" x14ac:dyDescent="0.3">
      <c r="A105" s="15">
        <v>598137</v>
      </c>
      <c r="B105" s="22" t="s">
        <v>0</v>
      </c>
      <c r="C105" s="21">
        <v>8000160632693</v>
      </c>
      <c r="D105" s="20" t="s">
        <v>284</v>
      </c>
      <c r="E105" s="11">
        <v>23.99</v>
      </c>
      <c r="F105" s="24">
        <v>23.99</v>
      </c>
      <c r="G105" s="24">
        <v>23.99</v>
      </c>
      <c r="H105" s="24">
        <v>26.97</v>
      </c>
      <c r="I105" s="24"/>
      <c r="J105" s="12"/>
    </row>
    <row r="106" spans="1:10" ht="15.9" customHeight="1" x14ac:dyDescent="0.3">
      <c r="A106" s="15">
        <v>733018</v>
      </c>
      <c r="B106" s="22" t="s">
        <v>0</v>
      </c>
      <c r="C106" s="21">
        <v>8000160631290</v>
      </c>
      <c r="D106" s="20" t="s">
        <v>199</v>
      </c>
      <c r="E106" s="11">
        <v>18.989999999999998</v>
      </c>
      <c r="F106" s="24">
        <v>19.989999999999998</v>
      </c>
      <c r="G106" s="24">
        <v>18.989999999999998</v>
      </c>
      <c r="H106" s="24">
        <v>19.53</v>
      </c>
      <c r="I106" s="24"/>
      <c r="J106" s="12"/>
    </row>
    <row r="107" spans="1:10" ht="13.95" customHeight="1" x14ac:dyDescent="0.3">
      <c r="A107" s="15">
        <v>722186</v>
      </c>
      <c r="B107" s="22" t="s">
        <v>0</v>
      </c>
      <c r="C107" s="21">
        <v>8000160631283</v>
      </c>
      <c r="D107" s="20" t="s">
        <v>200</v>
      </c>
      <c r="E107" s="11">
        <v>18.989999999999998</v>
      </c>
      <c r="F107" s="24">
        <v>18.989999999999998</v>
      </c>
      <c r="G107" s="24">
        <v>18.89</v>
      </c>
      <c r="H107" s="24">
        <v>22.21</v>
      </c>
      <c r="I107" s="24">
        <v>22.65</v>
      </c>
      <c r="J107" s="12"/>
    </row>
    <row r="108" spans="1:10" ht="15.9" customHeight="1" x14ac:dyDescent="0.3">
      <c r="A108" s="15">
        <v>202137</v>
      </c>
      <c r="B108" s="22" t="s">
        <v>0</v>
      </c>
      <c r="C108" s="21">
        <v>8008900006247</v>
      </c>
      <c r="D108" s="20" t="s">
        <v>285</v>
      </c>
      <c r="E108" s="11">
        <v>24.99</v>
      </c>
      <c r="F108" s="24">
        <v>24.99</v>
      </c>
      <c r="G108" s="24">
        <v>24.99</v>
      </c>
      <c r="H108" s="24">
        <v>24.8</v>
      </c>
      <c r="I108" s="24"/>
      <c r="J108" s="12"/>
    </row>
    <row r="109" spans="1:10" ht="15.9" customHeight="1" x14ac:dyDescent="0.3">
      <c r="A109" s="15">
        <v>672019</v>
      </c>
      <c r="B109" s="22" t="s">
        <v>0</v>
      </c>
      <c r="C109" s="21">
        <v>8008900008340</v>
      </c>
      <c r="D109" s="20" t="s">
        <v>286</v>
      </c>
      <c r="E109" s="11">
        <v>18.989999999999998</v>
      </c>
      <c r="F109" s="24">
        <v>18.989999999999998</v>
      </c>
      <c r="G109" s="24">
        <v>18.989999999999998</v>
      </c>
      <c r="H109" s="24">
        <v>19.98</v>
      </c>
      <c r="I109" s="24">
        <v>20.91</v>
      </c>
      <c r="J109" s="12"/>
    </row>
    <row r="110" spans="1:10" ht="15.9" customHeight="1" x14ac:dyDescent="0.3">
      <c r="A110" s="15">
        <v>733140</v>
      </c>
      <c r="B110" s="22" t="s">
        <v>0</v>
      </c>
      <c r="C110" s="21">
        <v>8008900060331</v>
      </c>
      <c r="D110" s="20" t="s">
        <v>287</v>
      </c>
      <c r="E110" s="11">
        <v>18.989999999999998</v>
      </c>
      <c r="F110" s="24">
        <v>18.98</v>
      </c>
      <c r="G110" s="24"/>
      <c r="H110" s="24">
        <v>19.98</v>
      </c>
      <c r="I110" s="24">
        <v>20.8</v>
      </c>
      <c r="J110" s="12"/>
    </row>
    <row r="111" spans="1:10" ht="15.9" customHeight="1" x14ac:dyDescent="0.3">
      <c r="A111" s="15">
        <v>533627</v>
      </c>
      <c r="B111" s="23" t="s">
        <v>0</v>
      </c>
      <c r="C111" s="21">
        <v>8008900008357</v>
      </c>
      <c r="D111" s="20" t="s">
        <v>288</v>
      </c>
      <c r="E111" s="11">
        <v>18.989999999999998</v>
      </c>
      <c r="F111" s="24">
        <v>18.989999999999998</v>
      </c>
      <c r="G111" s="24">
        <v>18.989999999999998</v>
      </c>
      <c r="H111" s="24">
        <v>19.98</v>
      </c>
      <c r="I111" s="24"/>
      <c r="J111" s="12"/>
    </row>
    <row r="112" spans="1:10" ht="15.9" customHeight="1" x14ac:dyDescent="0.3">
      <c r="A112" s="15">
        <v>622994</v>
      </c>
      <c r="B112" s="22" t="s">
        <v>0</v>
      </c>
      <c r="C112" s="21">
        <v>8008900060324</v>
      </c>
      <c r="D112" s="20" t="s">
        <v>289</v>
      </c>
      <c r="E112" s="11">
        <v>18.989999999999998</v>
      </c>
      <c r="F112" s="24">
        <v>18.989999999999998</v>
      </c>
      <c r="G112" s="24">
        <v>18.989999999999998</v>
      </c>
      <c r="H112" s="24">
        <v>19.98</v>
      </c>
      <c r="I112" s="24">
        <v>20.8</v>
      </c>
      <c r="J112" s="12"/>
    </row>
    <row r="113" spans="1:10" ht="15.9" customHeight="1" x14ac:dyDescent="0.3">
      <c r="A113" s="15">
        <v>733169</v>
      </c>
      <c r="B113" s="22" t="s">
        <v>0</v>
      </c>
      <c r="C113" s="21">
        <v>8008900060348</v>
      </c>
      <c r="D113" s="20" t="s">
        <v>290</v>
      </c>
      <c r="E113" s="11">
        <v>18.989999999999998</v>
      </c>
      <c r="F113" s="24">
        <v>18.989999999999998</v>
      </c>
      <c r="G113" s="24"/>
      <c r="H113" s="24">
        <v>19.98</v>
      </c>
      <c r="I113" s="24">
        <v>20.8</v>
      </c>
      <c r="J113" s="12"/>
    </row>
    <row r="114" spans="1:10" ht="15.9" customHeight="1" x14ac:dyDescent="0.3">
      <c r="A114" s="15">
        <v>733168</v>
      </c>
      <c r="B114" s="22" t="s">
        <v>0</v>
      </c>
      <c r="C114" s="21">
        <v>8423513000381</v>
      </c>
      <c r="D114" s="20" t="s">
        <v>475</v>
      </c>
      <c r="E114" s="11">
        <v>15.49</v>
      </c>
      <c r="F114" s="24">
        <v>18.989999999999998</v>
      </c>
      <c r="G114" s="24">
        <v>19.989999999999998</v>
      </c>
      <c r="H114" s="24">
        <v>20.14</v>
      </c>
      <c r="I114" s="24">
        <v>21.76</v>
      </c>
      <c r="J114" s="12"/>
    </row>
    <row r="115" spans="1:10" ht="15.9" customHeight="1" x14ac:dyDescent="0.3">
      <c r="A115" s="15">
        <v>158494</v>
      </c>
      <c r="B115" s="22" t="s">
        <v>0</v>
      </c>
      <c r="C115" s="21">
        <v>3500610051111</v>
      </c>
      <c r="D115" s="20" t="s">
        <v>476</v>
      </c>
      <c r="E115" s="11">
        <v>16.989999999999998</v>
      </c>
      <c r="F115" s="24">
        <v>19.989999999999998</v>
      </c>
      <c r="G115" s="24"/>
      <c r="H115" s="24">
        <v>21.03</v>
      </c>
      <c r="I115" s="24">
        <v>20.37</v>
      </c>
      <c r="J115" s="12"/>
    </row>
    <row r="116" spans="1:10" ht="15.9" customHeight="1" x14ac:dyDescent="0.3">
      <c r="A116" s="15">
        <v>733097</v>
      </c>
      <c r="B116" s="22" t="s">
        <v>0</v>
      </c>
      <c r="C116" s="21">
        <v>7804320556000</v>
      </c>
      <c r="D116" s="20" t="s">
        <v>291</v>
      </c>
      <c r="E116" s="11">
        <v>25.99</v>
      </c>
      <c r="F116" s="24"/>
      <c r="G116" s="24"/>
      <c r="H116" s="24"/>
      <c r="I116" s="24"/>
      <c r="J116" s="12"/>
    </row>
    <row r="117" spans="1:10" ht="15.9" customHeight="1" x14ac:dyDescent="0.3">
      <c r="A117" s="15">
        <v>733171</v>
      </c>
      <c r="B117" s="22" t="s">
        <v>0</v>
      </c>
      <c r="C117" s="21">
        <v>8423513000619</v>
      </c>
      <c r="D117" s="20" t="s">
        <v>474</v>
      </c>
      <c r="E117" s="11">
        <v>20.14</v>
      </c>
      <c r="F117" s="24"/>
      <c r="G117" s="24"/>
      <c r="H117" s="24"/>
      <c r="I117" s="24"/>
      <c r="J117" s="12"/>
    </row>
    <row r="118" spans="1:10" ht="15.9" customHeight="1" x14ac:dyDescent="0.3">
      <c r="A118" s="15">
        <v>183997</v>
      </c>
      <c r="B118" s="22" t="s">
        <v>0</v>
      </c>
      <c r="C118" s="21">
        <v>4811173001956</v>
      </c>
      <c r="D118" s="20" t="s">
        <v>292</v>
      </c>
      <c r="E118" s="11">
        <v>2.99</v>
      </c>
      <c r="F118" s="24"/>
      <c r="G118" s="24"/>
      <c r="H118" s="24">
        <v>2.9</v>
      </c>
      <c r="I118" s="24">
        <v>2.8</v>
      </c>
      <c r="J118" s="12"/>
    </row>
    <row r="119" spans="1:10" ht="15.9" customHeight="1" x14ac:dyDescent="0.3">
      <c r="A119" s="15">
        <v>221366</v>
      </c>
      <c r="B119" s="22" t="s">
        <v>0</v>
      </c>
      <c r="C119" s="21">
        <v>4049366003757</v>
      </c>
      <c r="D119" s="20" t="s">
        <v>293</v>
      </c>
      <c r="E119" s="11">
        <v>24.99</v>
      </c>
      <c r="F119" s="24">
        <v>24.99</v>
      </c>
      <c r="G119" s="24">
        <v>24.98</v>
      </c>
      <c r="H119" s="24"/>
      <c r="I119" s="24">
        <v>23.99</v>
      </c>
      <c r="J119" s="12"/>
    </row>
    <row r="120" spans="1:10" ht="15.9" customHeight="1" x14ac:dyDescent="0.3">
      <c r="A120" s="15">
        <v>733149</v>
      </c>
      <c r="B120" s="22" t="s">
        <v>0</v>
      </c>
      <c r="C120" s="21">
        <v>4810025005913</v>
      </c>
      <c r="D120" s="20" t="s">
        <v>294</v>
      </c>
      <c r="E120" s="11">
        <v>6.39</v>
      </c>
      <c r="F120" s="24">
        <v>6.49</v>
      </c>
      <c r="G120" s="24"/>
      <c r="H120" s="24"/>
      <c r="I120" s="24"/>
      <c r="J120" s="12"/>
    </row>
    <row r="121" spans="1:10" ht="15.9" customHeight="1" x14ac:dyDescent="0.3">
      <c r="A121" s="15">
        <v>616050</v>
      </c>
      <c r="B121" s="22" t="s">
        <v>0</v>
      </c>
      <c r="C121" s="21">
        <v>8414601139113</v>
      </c>
      <c r="D121" s="20" t="s">
        <v>295</v>
      </c>
      <c r="E121" s="11">
        <v>14.32</v>
      </c>
      <c r="F121" s="24"/>
      <c r="G121" s="24"/>
      <c r="H121" s="24"/>
      <c r="I121" s="24"/>
      <c r="J121" s="12"/>
    </row>
    <row r="122" spans="1:10" ht="15.9" customHeight="1" x14ac:dyDescent="0.3">
      <c r="A122" s="15">
        <v>733090</v>
      </c>
      <c r="B122" s="22" t="s">
        <v>0</v>
      </c>
      <c r="C122" s="21">
        <v>8414601139106</v>
      </c>
      <c r="D122" s="20" t="s">
        <v>296</v>
      </c>
      <c r="E122" s="11">
        <v>14.32</v>
      </c>
      <c r="F122" s="24"/>
      <c r="G122" s="24"/>
      <c r="H122" s="24"/>
      <c r="I122" s="24"/>
      <c r="J122" s="12"/>
    </row>
    <row r="123" spans="1:10" ht="15.9" customHeight="1" x14ac:dyDescent="0.3">
      <c r="A123" s="15">
        <v>733134</v>
      </c>
      <c r="B123" s="22" t="s">
        <v>0</v>
      </c>
      <c r="C123" s="21">
        <v>4811168008564</v>
      </c>
      <c r="D123" s="20" t="s">
        <v>213</v>
      </c>
      <c r="E123" s="11">
        <v>22.98</v>
      </c>
      <c r="F123" s="24">
        <v>21</v>
      </c>
      <c r="G123" s="24">
        <v>20.68</v>
      </c>
      <c r="H123" s="24"/>
      <c r="I123" s="24">
        <v>22.98</v>
      </c>
      <c r="J123" s="12"/>
    </row>
    <row r="124" spans="1:10" ht="15.9" customHeight="1" x14ac:dyDescent="0.3">
      <c r="A124" s="15">
        <v>578469</v>
      </c>
      <c r="B124" s="22" t="s">
        <v>0</v>
      </c>
      <c r="C124" s="21">
        <v>5010106113301</v>
      </c>
      <c r="D124" s="20" t="s">
        <v>210</v>
      </c>
      <c r="E124" s="11">
        <v>43.13</v>
      </c>
      <c r="F124" s="24"/>
      <c r="G124" s="24">
        <v>38.82</v>
      </c>
      <c r="H124" s="24">
        <v>41.48</v>
      </c>
      <c r="I124" s="24">
        <v>43.13</v>
      </c>
      <c r="J124" s="12"/>
    </row>
    <row r="125" spans="1:10" ht="15.9" customHeight="1" x14ac:dyDescent="0.3">
      <c r="A125" s="15"/>
      <c r="B125" s="22" t="s">
        <v>0</v>
      </c>
      <c r="C125" s="21">
        <v>5010106113127</v>
      </c>
      <c r="D125" s="20" t="s">
        <v>211</v>
      </c>
      <c r="E125" s="11">
        <v>60.65</v>
      </c>
      <c r="F125" s="24"/>
      <c r="G125" s="24">
        <v>54.58</v>
      </c>
      <c r="H125" s="24">
        <v>58.32</v>
      </c>
      <c r="I125" s="24">
        <v>60.65</v>
      </c>
      <c r="J125" s="12"/>
    </row>
    <row r="126" spans="1:10" ht="15.9" customHeight="1" x14ac:dyDescent="0.3">
      <c r="A126" s="15"/>
      <c r="B126" s="22" t="s">
        <v>0</v>
      </c>
      <c r="C126" s="21">
        <v>5011007003005</v>
      </c>
      <c r="D126" s="20" t="s">
        <v>209</v>
      </c>
      <c r="E126" s="11">
        <v>79.19</v>
      </c>
      <c r="F126" s="24">
        <v>77.97</v>
      </c>
      <c r="G126" s="24">
        <v>71.260000000000005</v>
      </c>
      <c r="H126" s="24">
        <v>76.41</v>
      </c>
      <c r="I126" s="24">
        <v>79.19</v>
      </c>
      <c r="J126" s="12"/>
    </row>
    <row r="127" spans="1:10" ht="15.9" customHeight="1" x14ac:dyDescent="0.3">
      <c r="A127" s="15">
        <v>733216</v>
      </c>
      <c r="B127" s="22" t="s">
        <v>0</v>
      </c>
      <c r="C127" s="21">
        <v>5060045583147</v>
      </c>
      <c r="D127" s="20" t="s">
        <v>297</v>
      </c>
      <c r="E127" s="11">
        <v>42.18</v>
      </c>
      <c r="F127" s="24"/>
      <c r="G127" s="24"/>
      <c r="H127" s="24"/>
      <c r="I127" s="24"/>
      <c r="J127" s="12"/>
    </row>
    <row r="128" spans="1:10" ht="15.9" customHeight="1" x14ac:dyDescent="0.3">
      <c r="A128" s="15"/>
      <c r="B128" s="22" t="s">
        <v>0</v>
      </c>
      <c r="C128" s="21">
        <v>5010327406015</v>
      </c>
      <c r="D128" s="20" t="s">
        <v>298</v>
      </c>
      <c r="E128" s="11">
        <v>29.98</v>
      </c>
      <c r="F128" s="24"/>
      <c r="G128" s="24"/>
      <c r="H128" s="24"/>
      <c r="I128" s="24"/>
      <c r="J128" s="12"/>
    </row>
    <row r="129" spans="1:10" ht="15.9" customHeight="1" x14ac:dyDescent="0.3">
      <c r="A129" s="15">
        <v>703445</v>
      </c>
      <c r="B129" s="22" t="s">
        <v>0</v>
      </c>
      <c r="C129" s="21">
        <v>5000299210130</v>
      </c>
      <c r="D129" s="20" t="s">
        <v>299</v>
      </c>
      <c r="E129" s="11">
        <v>33.450000000000003</v>
      </c>
      <c r="F129" s="24"/>
      <c r="G129" s="24">
        <v>30.1</v>
      </c>
      <c r="H129" s="24">
        <v>32.159999999999997</v>
      </c>
      <c r="I129" s="24">
        <v>33.450000000000003</v>
      </c>
      <c r="J129" s="12"/>
    </row>
    <row r="130" spans="1:10" ht="15.9" customHeight="1" x14ac:dyDescent="0.3">
      <c r="A130" s="15">
        <v>733069</v>
      </c>
      <c r="B130" s="22" t="s">
        <v>0</v>
      </c>
      <c r="C130" s="21">
        <v>5000299210048</v>
      </c>
      <c r="D130" s="20" t="s">
        <v>212</v>
      </c>
      <c r="E130" s="11">
        <v>40.83</v>
      </c>
      <c r="F130" s="24"/>
      <c r="G130" s="24">
        <v>36.74</v>
      </c>
      <c r="H130" s="24">
        <v>39.26</v>
      </c>
      <c r="I130" s="24">
        <v>40.83</v>
      </c>
      <c r="J130" s="12"/>
    </row>
    <row r="131" spans="1:10" ht="15.9" customHeight="1" x14ac:dyDescent="0.3">
      <c r="A131" s="15">
        <v>733102</v>
      </c>
      <c r="B131" s="22" t="s">
        <v>18</v>
      </c>
      <c r="C131" s="21">
        <v>4860019001360</v>
      </c>
      <c r="D131" s="20" t="s">
        <v>176</v>
      </c>
      <c r="E131" s="11">
        <v>4.5</v>
      </c>
      <c r="F131" s="24">
        <v>4.29</v>
      </c>
      <c r="G131" s="24">
        <v>4.79</v>
      </c>
      <c r="H131" s="24">
        <v>4.4400000000000004</v>
      </c>
      <c r="I131" s="24">
        <v>4.46</v>
      </c>
      <c r="J131" s="12"/>
    </row>
    <row r="132" spans="1:10" ht="15.9" customHeight="1" x14ac:dyDescent="0.3">
      <c r="A132" s="15">
        <v>712670</v>
      </c>
      <c r="B132" s="22" t="s">
        <v>18</v>
      </c>
      <c r="C132" s="21">
        <v>4860019002077</v>
      </c>
      <c r="D132" s="20" t="s">
        <v>167</v>
      </c>
      <c r="E132" s="11" t="s">
        <v>159</v>
      </c>
      <c r="F132" s="24">
        <v>4.99</v>
      </c>
      <c r="G132" s="24">
        <v>5.99</v>
      </c>
      <c r="H132" s="24" t="s">
        <v>151</v>
      </c>
      <c r="I132" s="24">
        <v>6.02</v>
      </c>
      <c r="J132" s="12"/>
    </row>
    <row r="133" spans="1:10" ht="15.9" customHeight="1" x14ac:dyDescent="0.3">
      <c r="A133" s="15"/>
      <c r="B133" s="22" t="s">
        <v>18</v>
      </c>
      <c r="C133" s="21">
        <v>4860019001346</v>
      </c>
      <c r="D133" s="20" t="s">
        <v>177</v>
      </c>
      <c r="E133" s="11">
        <v>4.13</v>
      </c>
      <c r="F133" s="24">
        <v>2.29</v>
      </c>
      <c r="G133" s="24">
        <v>4.1900000000000004</v>
      </c>
      <c r="H133" s="24">
        <v>4.13</v>
      </c>
      <c r="I133" s="24">
        <v>4.13</v>
      </c>
      <c r="J133" s="12"/>
    </row>
    <row r="134" spans="1:10" ht="15.75" customHeight="1" x14ac:dyDescent="0.3">
      <c r="A134" s="15">
        <v>733353</v>
      </c>
      <c r="B134" s="22" t="s">
        <v>18</v>
      </c>
      <c r="C134" s="21">
        <v>4810112010523</v>
      </c>
      <c r="D134" s="20" t="s">
        <v>300</v>
      </c>
      <c r="E134" s="11">
        <v>1.2</v>
      </c>
      <c r="F134" s="24" t="s">
        <v>153</v>
      </c>
      <c r="G134" s="24"/>
      <c r="H134" s="24" t="s">
        <v>48</v>
      </c>
      <c r="I134" s="24">
        <v>1.76</v>
      </c>
      <c r="J134" s="12"/>
    </row>
    <row r="135" spans="1:10" ht="15.9" customHeight="1" x14ac:dyDescent="0.3">
      <c r="A135" s="15">
        <v>733218</v>
      </c>
      <c r="B135" s="22" t="s">
        <v>18</v>
      </c>
      <c r="C135" s="21">
        <v>4810074000174</v>
      </c>
      <c r="D135" s="20" t="s">
        <v>168</v>
      </c>
      <c r="E135" s="11">
        <v>1.57</v>
      </c>
      <c r="F135" s="24" t="s">
        <v>44</v>
      </c>
      <c r="G135" s="24">
        <v>1.41</v>
      </c>
      <c r="H135" s="24">
        <v>1.88</v>
      </c>
      <c r="I135" s="24">
        <v>1.88</v>
      </c>
      <c r="J135" s="12"/>
    </row>
    <row r="136" spans="1:10" ht="15.75" customHeight="1" x14ac:dyDescent="0.3">
      <c r="A136" s="15">
        <v>483924</v>
      </c>
      <c r="B136" s="22" t="s">
        <v>18</v>
      </c>
      <c r="C136" s="21">
        <v>4865602000027</v>
      </c>
      <c r="D136" s="20" t="s">
        <v>21</v>
      </c>
      <c r="E136" s="11">
        <v>2.79</v>
      </c>
      <c r="F136" s="24">
        <v>2.75</v>
      </c>
      <c r="G136" s="24">
        <v>2.79</v>
      </c>
      <c r="H136" s="24">
        <v>2.79</v>
      </c>
      <c r="I136" s="24">
        <v>2.97</v>
      </c>
      <c r="J136" s="12"/>
    </row>
    <row r="137" spans="1:10" ht="15.9" customHeight="1" x14ac:dyDescent="0.3">
      <c r="A137" s="15">
        <v>559541</v>
      </c>
      <c r="B137" s="22" t="s">
        <v>18</v>
      </c>
      <c r="C137" s="21">
        <v>4600536180007</v>
      </c>
      <c r="D137" s="20" t="s">
        <v>301</v>
      </c>
      <c r="E137" s="11">
        <v>2.85</v>
      </c>
      <c r="F137" s="24"/>
      <c r="G137" s="24"/>
      <c r="H137" s="24"/>
      <c r="I137" s="24"/>
      <c r="J137" s="12"/>
    </row>
    <row r="138" spans="1:10" ht="15.9" customHeight="1" x14ac:dyDescent="0.3">
      <c r="A138" s="15">
        <v>733100</v>
      </c>
      <c r="B138" s="22" t="s">
        <v>18</v>
      </c>
      <c r="C138" s="21">
        <v>4810285007580</v>
      </c>
      <c r="D138" s="20" t="s">
        <v>169</v>
      </c>
      <c r="E138" s="11" t="s">
        <v>41</v>
      </c>
      <c r="F138" s="24">
        <v>2.63</v>
      </c>
      <c r="G138" s="24">
        <v>2.82</v>
      </c>
      <c r="H138" s="24" t="s">
        <v>413</v>
      </c>
      <c r="I138" s="24"/>
      <c r="J138" s="12"/>
    </row>
    <row r="139" spans="1:10" ht="15.9" customHeight="1" x14ac:dyDescent="0.3">
      <c r="A139" s="15">
        <v>19502</v>
      </c>
      <c r="B139" s="22" t="s">
        <v>18</v>
      </c>
      <c r="C139" s="21">
        <v>5449000032805</v>
      </c>
      <c r="D139" s="20" t="s">
        <v>302</v>
      </c>
      <c r="E139" s="11">
        <v>2.5</v>
      </c>
      <c r="F139" s="24">
        <v>2.29</v>
      </c>
      <c r="G139" s="24">
        <v>2.35</v>
      </c>
      <c r="H139" s="24">
        <v>2.29</v>
      </c>
      <c r="I139" s="24">
        <v>2.16</v>
      </c>
      <c r="J139" s="12"/>
    </row>
    <row r="140" spans="1:10" ht="15.9" customHeight="1" x14ac:dyDescent="0.3">
      <c r="A140" s="15">
        <v>733150</v>
      </c>
      <c r="B140" s="22" t="s">
        <v>18</v>
      </c>
      <c r="C140" s="21">
        <v>5449000232700</v>
      </c>
      <c r="D140" s="20" t="s">
        <v>22</v>
      </c>
      <c r="E140" s="11">
        <v>1.89</v>
      </c>
      <c r="F140" s="24">
        <v>1.69</v>
      </c>
      <c r="G140" s="24">
        <v>1.39</v>
      </c>
      <c r="H140" s="24" t="s">
        <v>157</v>
      </c>
      <c r="I140" s="24">
        <v>1.59</v>
      </c>
      <c r="J140" s="12"/>
    </row>
    <row r="141" spans="1:10" ht="15.75" customHeight="1" x14ac:dyDescent="0.3">
      <c r="A141" s="15">
        <v>733204</v>
      </c>
      <c r="B141" s="22" t="s">
        <v>18</v>
      </c>
      <c r="C141" s="21">
        <v>5449000232694</v>
      </c>
      <c r="D141" s="20" t="s">
        <v>303</v>
      </c>
      <c r="E141" s="11">
        <v>1.79</v>
      </c>
      <c r="F141" s="24">
        <v>1.63</v>
      </c>
      <c r="G141" s="24">
        <v>1.69</v>
      </c>
      <c r="H141" s="24">
        <v>1.63</v>
      </c>
      <c r="I141" s="24" t="s">
        <v>154</v>
      </c>
      <c r="J141" s="12"/>
    </row>
    <row r="142" spans="1:10" ht="15.9" customHeight="1" x14ac:dyDescent="0.3">
      <c r="A142" s="15">
        <v>733297</v>
      </c>
      <c r="B142" s="22" t="s">
        <v>18</v>
      </c>
      <c r="C142" s="21">
        <v>4810112011285</v>
      </c>
      <c r="D142" s="20" t="s">
        <v>304</v>
      </c>
      <c r="E142" s="11">
        <v>1.2</v>
      </c>
      <c r="F142" s="24">
        <v>0.99</v>
      </c>
      <c r="G142" s="24">
        <v>1.19</v>
      </c>
      <c r="H142" s="24">
        <v>1.68</v>
      </c>
      <c r="I142" s="24">
        <v>1.76</v>
      </c>
      <c r="J142" s="12"/>
    </row>
    <row r="143" spans="1:10" ht="15.9" customHeight="1" x14ac:dyDescent="0.3">
      <c r="A143" s="15">
        <v>733183</v>
      </c>
      <c r="B143" s="22" t="s">
        <v>18</v>
      </c>
      <c r="C143" s="21">
        <v>4810112012350</v>
      </c>
      <c r="D143" s="20" t="s">
        <v>305</v>
      </c>
      <c r="E143" s="11">
        <v>2.2599999999999998</v>
      </c>
      <c r="F143" s="24">
        <v>1.83</v>
      </c>
      <c r="G143" s="24">
        <v>1.99</v>
      </c>
      <c r="H143" s="24"/>
      <c r="I143" s="24">
        <v>1.78</v>
      </c>
      <c r="J143" s="12"/>
    </row>
    <row r="144" spans="1:10" ht="15.75" customHeight="1" x14ac:dyDescent="0.3">
      <c r="A144" s="15">
        <v>665373</v>
      </c>
      <c r="B144" s="22" t="s">
        <v>18</v>
      </c>
      <c r="C144" s="21">
        <v>4810112011230</v>
      </c>
      <c r="D144" s="20" t="s">
        <v>214</v>
      </c>
      <c r="E144" s="11">
        <v>3.57</v>
      </c>
      <c r="F144" s="24">
        <v>2.76</v>
      </c>
      <c r="G144" s="24">
        <v>2.77</v>
      </c>
      <c r="H144" s="24" t="s">
        <v>147</v>
      </c>
      <c r="I144" s="24">
        <v>3.89</v>
      </c>
      <c r="J144" s="12"/>
    </row>
    <row r="145" spans="1:10" ht="15.9" customHeight="1" x14ac:dyDescent="0.3">
      <c r="A145" s="15">
        <v>733098</v>
      </c>
      <c r="B145" s="22" t="s">
        <v>18</v>
      </c>
      <c r="C145" s="21">
        <v>4810112010974</v>
      </c>
      <c r="D145" s="20" t="s">
        <v>306</v>
      </c>
      <c r="E145" s="11">
        <v>1.39</v>
      </c>
      <c r="F145" s="24">
        <v>1.1200000000000001</v>
      </c>
      <c r="G145" s="24"/>
      <c r="H145" s="24" t="s">
        <v>465</v>
      </c>
      <c r="I145" s="24">
        <v>1.1200000000000001</v>
      </c>
      <c r="J145" s="12"/>
    </row>
    <row r="146" spans="1:10" ht="15.9" customHeight="1" x14ac:dyDescent="0.3">
      <c r="A146" s="15">
        <v>331717</v>
      </c>
      <c r="B146" s="22" t="s">
        <v>7</v>
      </c>
      <c r="C146" s="21">
        <v>4603934000397</v>
      </c>
      <c r="D146" s="20" t="s">
        <v>193</v>
      </c>
      <c r="E146" s="11">
        <v>1.1499999999999999</v>
      </c>
      <c r="F146" s="24"/>
      <c r="G146" s="24">
        <v>1.39</v>
      </c>
      <c r="H146" s="24"/>
      <c r="I146" s="24" t="s">
        <v>52</v>
      </c>
      <c r="J146" s="12"/>
    </row>
    <row r="147" spans="1:10" ht="15.9" customHeight="1" x14ac:dyDescent="0.3">
      <c r="A147" s="15">
        <v>458020</v>
      </c>
      <c r="B147" s="22" t="s">
        <v>18</v>
      </c>
      <c r="C147" s="21">
        <v>4603934000748</v>
      </c>
      <c r="D147" s="20" t="s">
        <v>307</v>
      </c>
      <c r="E147" s="11" t="s">
        <v>46</v>
      </c>
      <c r="F147" s="24">
        <v>1.49</v>
      </c>
      <c r="G147" s="24">
        <v>1.59</v>
      </c>
      <c r="H147" s="24">
        <v>1.98</v>
      </c>
      <c r="I147" s="24">
        <v>1.61</v>
      </c>
      <c r="J147" s="12"/>
    </row>
    <row r="148" spans="1:10" ht="15.9" customHeight="1" x14ac:dyDescent="0.3">
      <c r="A148" s="15">
        <v>655283</v>
      </c>
      <c r="B148" s="22" t="s">
        <v>18</v>
      </c>
      <c r="C148" s="21">
        <v>4603934000779</v>
      </c>
      <c r="D148" s="20" t="s">
        <v>308</v>
      </c>
      <c r="E148" s="11" t="s">
        <v>46</v>
      </c>
      <c r="F148" s="24">
        <v>1.49</v>
      </c>
      <c r="G148" s="24">
        <v>1.59</v>
      </c>
      <c r="H148" s="24">
        <v>1.95</v>
      </c>
      <c r="I148" s="24">
        <v>1.58</v>
      </c>
      <c r="J148" s="12"/>
    </row>
    <row r="149" spans="1:10" ht="15.9" customHeight="1" x14ac:dyDescent="0.3">
      <c r="A149" s="15">
        <v>526910</v>
      </c>
      <c r="B149" s="22" t="s">
        <v>0</v>
      </c>
      <c r="C149" s="21">
        <v>4810027014180</v>
      </c>
      <c r="D149" s="20" t="s">
        <v>309</v>
      </c>
      <c r="E149" s="11">
        <v>10.25</v>
      </c>
      <c r="F149" s="24"/>
      <c r="G149" s="24">
        <v>10.17</v>
      </c>
      <c r="H149" s="24">
        <v>10.29</v>
      </c>
      <c r="I149" s="24">
        <v>10.29</v>
      </c>
      <c r="J149" s="12"/>
    </row>
    <row r="150" spans="1:10" ht="15.9" customHeight="1" x14ac:dyDescent="0.3">
      <c r="A150" s="15">
        <v>733253</v>
      </c>
      <c r="B150" s="22" t="s">
        <v>0</v>
      </c>
      <c r="C150" s="21">
        <v>4811168003996</v>
      </c>
      <c r="D150" s="20" t="s">
        <v>310</v>
      </c>
      <c r="E150" s="11">
        <v>16.34</v>
      </c>
      <c r="F150" s="24"/>
      <c r="G150" s="24"/>
      <c r="H150" s="24">
        <v>15.99</v>
      </c>
      <c r="I150" s="24">
        <v>16.34</v>
      </c>
      <c r="J150" s="12"/>
    </row>
    <row r="151" spans="1:10" ht="15.9" customHeight="1" x14ac:dyDescent="0.3">
      <c r="A151" s="15">
        <v>733196</v>
      </c>
      <c r="B151" s="22" t="s">
        <v>0</v>
      </c>
      <c r="C151" s="21">
        <v>4810738008225</v>
      </c>
      <c r="D151" s="20" t="s">
        <v>311</v>
      </c>
      <c r="E151" s="11">
        <v>4.74</v>
      </c>
      <c r="F151" s="24">
        <v>4.5</v>
      </c>
      <c r="G151" s="24"/>
      <c r="H151" s="24">
        <v>4.74</v>
      </c>
      <c r="I151" s="24">
        <v>4.74</v>
      </c>
      <c r="J151" s="12"/>
    </row>
    <row r="152" spans="1:10" ht="15.9" customHeight="1" x14ac:dyDescent="0.3">
      <c r="A152" s="15">
        <v>506376</v>
      </c>
      <c r="B152" s="22" t="s">
        <v>0</v>
      </c>
      <c r="C152" s="21">
        <v>4810959006420</v>
      </c>
      <c r="D152" s="20" t="s">
        <v>312</v>
      </c>
      <c r="E152" s="11">
        <v>7.2</v>
      </c>
      <c r="F152" s="24"/>
      <c r="G152" s="24">
        <v>7.02</v>
      </c>
      <c r="H152" s="24">
        <v>7.22</v>
      </c>
      <c r="I152" s="24">
        <v>7.22</v>
      </c>
      <c r="J152" s="12"/>
    </row>
    <row r="153" spans="1:10" ht="15.9" customHeight="1" x14ac:dyDescent="0.3">
      <c r="A153" s="15">
        <v>733210</v>
      </c>
      <c r="B153" s="22" t="s">
        <v>0</v>
      </c>
      <c r="C153" s="21">
        <v>4810738007693</v>
      </c>
      <c r="D153" s="20" t="s">
        <v>313</v>
      </c>
      <c r="E153" s="11">
        <v>15.98</v>
      </c>
      <c r="F153" s="24">
        <v>14.99</v>
      </c>
      <c r="G153" s="24">
        <v>15.76</v>
      </c>
      <c r="H153" s="24">
        <v>16.11</v>
      </c>
      <c r="I153" s="24">
        <v>16.11</v>
      </c>
      <c r="J153" s="12"/>
    </row>
    <row r="154" spans="1:10" ht="15.9" customHeight="1" x14ac:dyDescent="0.3">
      <c r="A154" s="15">
        <v>674028</v>
      </c>
      <c r="B154" s="22" t="s">
        <v>0</v>
      </c>
      <c r="C154" s="21">
        <v>4810738005811</v>
      </c>
      <c r="D154" s="20" t="s">
        <v>178</v>
      </c>
      <c r="E154" s="11">
        <v>12.14</v>
      </c>
      <c r="F154" s="24">
        <v>10.99</v>
      </c>
      <c r="G154" s="24">
        <v>11.97</v>
      </c>
      <c r="H154" s="24">
        <v>12.24</v>
      </c>
      <c r="I154" s="24">
        <v>12.24</v>
      </c>
      <c r="J154" s="12"/>
    </row>
    <row r="155" spans="1:10" ht="15.9" customHeight="1" x14ac:dyDescent="0.3">
      <c r="A155" s="15">
        <v>733202</v>
      </c>
      <c r="B155" s="22" t="s">
        <v>0</v>
      </c>
      <c r="C155" s="21">
        <v>4810039028137</v>
      </c>
      <c r="D155" s="20" t="s">
        <v>314</v>
      </c>
      <c r="E155" s="11">
        <v>14.24</v>
      </c>
      <c r="F155" s="24">
        <v>14.32</v>
      </c>
      <c r="G155" s="24">
        <v>14.44</v>
      </c>
      <c r="H155" s="24">
        <v>14.42</v>
      </c>
      <c r="I155" s="24">
        <v>14.42</v>
      </c>
      <c r="J155" s="12"/>
    </row>
    <row r="156" spans="1:10" ht="15.9" customHeight="1" x14ac:dyDescent="0.3">
      <c r="A156" s="15">
        <v>733352</v>
      </c>
      <c r="B156" s="22" t="s">
        <v>0</v>
      </c>
      <c r="C156" s="21">
        <v>4810039023613</v>
      </c>
      <c r="D156" s="20" t="s">
        <v>315</v>
      </c>
      <c r="E156" s="11">
        <v>10.16</v>
      </c>
      <c r="F156" s="24">
        <v>10.24</v>
      </c>
      <c r="G156" s="24">
        <v>10.06</v>
      </c>
      <c r="H156" s="24">
        <v>10.29</v>
      </c>
      <c r="I156" s="24">
        <v>10.29</v>
      </c>
      <c r="J156" s="12"/>
    </row>
    <row r="157" spans="1:10" ht="15.9" customHeight="1" x14ac:dyDescent="0.3">
      <c r="A157" s="15">
        <v>477680</v>
      </c>
      <c r="B157" s="22" t="s">
        <v>0</v>
      </c>
      <c r="C157" s="21">
        <v>4810039010552</v>
      </c>
      <c r="D157" s="20" t="s">
        <v>316</v>
      </c>
      <c r="E157" s="11">
        <v>4.1399999999999997</v>
      </c>
      <c r="F157" s="24">
        <v>4.1100000000000003</v>
      </c>
      <c r="G157" s="24"/>
      <c r="H157" s="24"/>
      <c r="I157" s="24">
        <v>4.5</v>
      </c>
      <c r="J157" s="12"/>
    </row>
    <row r="158" spans="1:10" ht="15.75" customHeight="1" x14ac:dyDescent="0.3">
      <c r="A158" s="15">
        <v>180972</v>
      </c>
      <c r="B158" s="22" t="s">
        <v>0</v>
      </c>
      <c r="C158" s="21">
        <v>4810039023644</v>
      </c>
      <c r="D158" s="20" t="s">
        <v>317</v>
      </c>
      <c r="E158" s="11">
        <v>10.25</v>
      </c>
      <c r="F158" s="24"/>
      <c r="G158" s="24">
        <v>9.98</v>
      </c>
      <c r="H158" s="24">
        <v>10.29</v>
      </c>
      <c r="I158" s="24">
        <v>10.29</v>
      </c>
      <c r="J158" s="12"/>
    </row>
    <row r="159" spans="1:10" ht="15.9" customHeight="1" x14ac:dyDescent="0.3">
      <c r="A159" s="15">
        <v>733200</v>
      </c>
      <c r="B159" s="22" t="s">
        <v>6</v>
      </c>
      <c r="C159" s="21" t="s">
        <v>237</v>
      </c>
      <c r="D159" s="20" t="s">
        <v>164</v>
      </c>
      <c r="E159" s="11">
        <v>12.99</v>
      </c>
      <c r="F159" s="24"/>
      <c r="G159" s="24">
        <v>12.99</v>
      </c>
      <c r="H159" s="24"/>
      <c r="I159" s="24">
        <v>12.81</v>
      </c>
      <c r="J159" s="12"/>
    </row>
    <row r="160" spans="1:10" ht="15.75" customHeight="1" x14ac:dyDescent="0.3">
      <c r="A160" s="15">
        <v>733244</v>
      </c>
      <c r="B160" s="22" t="s">
        <v>6</v>
      </c>
      <c r="C160" s="21">
        <v>4015600949747.3999</v>
      </c>
      <c r="D160" s="20" t="s">
        <v>318</v>
      </c>
      <c r="E160" s="11" t="s">
        <v>188</v>
      </c>
      <c r="F160" s="24">
        <v>20.99</v>
      </c>
      <c r="G160" s="24"/>
      <c r="H160" s="24">
        <v>27.84</v>
      </c>
      <c r="I160" s="24" t="s">
        <v>419</v>
      </c>
      <c r="J160" s="12"/>
    </row>
    <row r="161" spans="1:10" ht="15.75" customHeight="1" x14ac:dyDescent="0.3">
      <c r="A161" s="15">
        <v>657830</v>
      </c>
      <c r="B161" s="22" t="s">
        <v>3</v>
      </c>
      <c r="C161" s="21">
        <v>4811180000010</v>
      </c>
      <c r="D161" s="20" t="s">
        <v>179</v>
      </c>
      <c r="E161" s="11">
        <v>1.57</v>
      </c>
      <c r="F161" s="24"/>
      <c r="G161" s="24"/>
      <c r="H161" s="24"/>
      <c r="I161" s="24"/>
      <c r="J161" s="12"/>
    </row>
    <row r="162" spans="1:10" ht="15.9" customHeight="1" x14ac:dyDescent="0.3">
      <c r="A162" s="15">
        <v>733208</v>
      </c>
      <c r="B162" s="22" t="s">
        <v>11</v>
      </c>
      <c r="C162" s="21">
        <v>5998304240022</v>
      </c>
      <c r="D162" s="20" t="s">
        <v>319</v>
      </c>
      <c r="E162" s="11">
        <v>3.1</v>
      </c>
      <c r="F162" s="24">
        <v>2.98</v>
      </c>
      <c r="G162" s="24">
        <v>2.99</v>
      </c>
      <c r="H162" s="24" t="s">
        <v>42</v>
      </c>
      <c r="I162" s="24">
        <v>3.55</v>
      </c>
      <c r="J162" s="12"/>
    </row>
    <row r="163" spans="1:10" ht="15.9" customHeight="1" x14ac:dyDescent="0.3">
      <c r="A163" s="15">
        <v>733327</v>
      </c>
      <c r="B163" s="22" t="s">
        <v>11</v>
      </c>
      <c r="C163" s="21">
        <v>4810282015106</v>
      </c>
      <c r="D163" s="20" t="s">
        <v>320</v>
      </c>
      <c r="E163" s="11">
        <v>1.99</v>
      </c>
      <c r="F163" s="24">
        <v>1.99</v>
      </c>
      <c r="G163" s="24"/>
      <c r="H163" s="24">
        <v>2.33</v>
      </c>
      <c r="I163" s="24"/>
      <c r="J163" s="12"/>
    </row>
    <row r="164" spans="1:10" ht="15.9" customHeight="1" x14ac:dyDescent="0.3">
      <c r="A164" s="15">
        <v>733195</v>
      </c>
      <c r="B164" s="22" t="s">
        <v>10</v>
      </c>
      <c r="C164" s="21">
        <v>15591</v>
      </c>
      <c r="D164" s="20" t="s">
        <v>321</v>
      </c>
      <c r="E164" s="11">
        <v>18.48</v>
      </c>
      <c r="F164" s="24"/>
      <c r="G164" s="24"/>
      <c r="H164" s="24"/>
      <c r="I164" s="24"/>
      <c r="J164" s="12"/>
    </row>
    <row r="165" spans="1:10" ht="15.9" customHeight="1" x14ac:dyDescent="0.3">
      <c r="A165" s="15">
        <v>733285</v>
      </c>
      <c r="B165" s="22" t="s">
        <v>10</v>
      </c>
      <c r="C165" s="21">
        <v>16389</v>
      </c>
      <c r="D165" s="20" t="s">
        <v>372</v>
      </c>
      <c r="E165" s="11">
        <v>19.23</v>
      </c>
      <c r="F165" s="24"/>
      <c r="G165" s="24"/>
      <c r="H165" s="24"/>
      <c r="I165" s="24"/>
      <c r="J165" s="12"/>
    </row>
    <row r="166" spans="1:10" ht="15.9" customHeight="1" x14ac:dyDescent="0.3">
      <c r="A166" s="15"/>
      <c r="B166" s="22" t="s">
        <v>10</v>
      </c>
      <c r="C166" s="21">
        <v>18444</v>
      </c>
      <c r="D166" s="20" t="s">
        <v>373</v>
      </c>
      <c r="E166" s="11">
        <v>14.59</v>
      </c>
      <c r="F166" s="24"/>
      <c r="G166" s="24"/>
      <c r="H166" s="24"/>
      <c r="I166" s="24"/>
      <c r="J166" s="12"/>
    </row>
    <row r="167" spans="1:10" ht="15.9" customHeight="1" x14ac:dyDescent="0.3">
      <c r="A167" s="15"/>
      <c r="B167" s="22" t="s">
        <v>10</v>
      </c>
      <c r="C167" s="21">
        <v>11080</v>
      </c>
      <c r="D167" s="20" t="s">
        <v>431</v>
      </c>
      <c r="E167" s="11">
        <v>13.89</v>
      </c>
      <c r="F167" s="24"/>
      <c r="G167" s="24"/>
      <c r="H167" s="24"/>
      <c r="I167" s="24"/>
      <c r="J167" s="12"/>
    </row>
    <row r="168" spans="1:10" ht="15.9" customHeight="1" x14ac:dyDescent="0.3">
      <c r="A168" s="15">
        <v>733230</v>
      </c>
      <c r="B168" s="22" t="s">
        <v>12</v>
      </c>
      <c r="C168" s="21">
        <v>4810319017103</v>
      </c>
      <c r="D168" s="20" t="s">
        <v>322</v>
      </c>
      <c r="E168" s="11">
        <v>3.53</v>
      </c>
      <c r="F168" s="24"/>
      <c r="G168" s="24">
        <v>3.52</v>
      </c>
      <c r="H168" s="24"/>
      <c r="I168" s="24"/>
      <c r="J168" s="12"/>
    </row>
    <row r="169" spans="1:10" ht="15.9" customHeight="1" x14ac:dyDescent="0.3">
      <c r="A169" s="15">
        <v>733209</v>
      </c>
      <c r="B169" s="22" t="s">
        <v>12</v>
      </c>
      <c r="C169" s="21">
        <v>4810268033766</v>
      </c>
      <c r="D169" s="20" t="s">
        <v>142</v>
      </c>
      <c r="E169" s="11">
        <v>1.53</v>
      </c>
      <c r="F169" s="24" t="s">
        <v>152</v>
      </c>
      <c r="G169" s="24">
        <v>1.69</v>
      </c>
      <c r="H169" s="24">
        <v>1.74</v>
      </c>
      <c r="I169" s="24">
        <v>1.74</v>
      </c>
      <c r="J169" s="12"/>
    </row>
    <row r="170" spans="1:10" ht="15.9" customHeight="1" x14ac:dyDescent="0.3">
      <c r="A170" s="15">
        <v>733301</v>
      </c>
      <c r="B170" s="22" t="s">
        <v>12</v>
      </c>
      <c r="C170" s="21">
        <v>4810268033759</v>
      </c>
      <c r="D170" s="20" t="s">
        <v>15</v>
      </c>
      <c r="E170" s="11">
        <v>1.53</v>
      </c>
      <c r="F170" s="24" t="s">
        <v>152</v>
      </c>
      <c r="G170" s="24">
        <v>1.69</v>
      </c>
      <c r="H170" s="24">
        <v>1.74</v>
      </c>
      <c r="I170" s="24">
        <v>1.74</v>
      </c>
      <c r="J170" s="12"/>
    </row>
    <row r="171" spans="1:10" ht="15.9" customHeight="1" x14ac:dyDescent="0.3">
      <c r="A171" s="15"/>
      <c r="B171" s="22" t="s">
        <v>7</v>
      </c>
      <c r="C171" s="21">
        <v>4810380082888</v>
      </c>
      <c r="D171" s="20" t="s">
        <v>323</v>
      </c>
      <c r="E171" s="11">
        <v>2.31</v>
      </c>
      <c r="F171" s="24">
        <v>2.25</v>
      </c>
      <c r="G171" s="24"/>
      <c r="H171" s="24">
        <v>2.31</v>
      </c>
      <c r="I171" s="24" t="s">
        <v>469</v>
      </c>
      <c r="J171" s="12"/>
    </row>
    <row r="172" spans="1:10" ht="15.9" customHeight="1" x14ac:dyDescent="0.3">
      <c r="A172" s="17"/>
      <c r="B172" s="22" t="s">
        <v>7</v>
      </c>
      <c r="C172" s="21">
        <v>4813538004756</v>
      </c>
      <c r="D172" s="20" t="s">
        <v>324</v>
      </c>
      <c r="E172" s="11">
        <v>0.99</v>
      </c>
      <c r="F172" s="24">
        <v>0.87</v>
      </c>
      <c r="G172" s="24">
        <v>0.87</v>
      </c>
      <c r="H172" s="24">
        <v>0.99</v>
      </c>
      <c r="I172" s="24">
        <v>0.99</v>
      </c>
      <c r="J172" s="12"/>
    </row>
    <row r="173" spans="1:10" ht="15.9" customHeight="1" x14ac:dyDescent="0.3">
      <c r="A173" s="15">
        <v>16458</v>
      </c>
      <c r="B173" s="22" t="s">
        <v>7</v>
      </c>
      <c r="C173" s="21">
        <v>4813538007221</v>
      </c>
      <c r="D173" s="20" t="s">
        <v>325</v>
      </c>
      <c r="E173" s="11">
        <v>1.41</v>
      </c>
      <c r="F173" s="24"/>
      <c r="G173" s="24"/>
      <c r="H173" s="24">
        <v>1.23</v>
      </c>
      <c r="I173" s="24" t="s">
        <v>418</v>
      </c>
      <c r="J173" s="12"/>
    </row>
    <row r="174" spans="1:10" ht="15.9" customHeight="1" x14ac:dyDescent="0.3">
      <c r="A174" s="15">
        <v>733268</v>
      </c>
      <c r="B174" s="22" t="s">
        <v>7</v>
      </c>
      <c r="C174" s="21">
        <v>4814716003035</v>
      </c>
      <c r="D174" s="20" t="s">
        <v>326</v>
      </c>
      <c r="E174" s="11">
        <v>1.84</v>
      </c>
      <c r="F174" s="24">
        <v>1.56</v>
      </c>
      <c r="G174" s="24"/>
      <c r="H174" s="24">
        <v>1.84</v>
      </c>
      <c r="I174" s="24" t="s">
        <v>416</v>
      </c>
      <c r="J174" s="12"/>
    </row>
    <row r="175" spans="1:10" ht="15.9" customHeight="1" x14ac:dyDescent="0.3">
      <c r="A175" s="15">
        <v>533773</v>
      </c>
      <c r="B175" s="22" t="s">
        <v>7</v>
      </c>
      <c r="C175" s="21">
        <v>4810797034951</v>
      </c>
      <c r="D175" s="20" t="s">
        <v>327</v>
      </c>
      <c r="E175" s="11">
        <v>1.45</v>
      </c>
      <c r="F175" s="24"/>
      <c r="G175" s="24"/>
      <c r="H175" s="24">
        <v>1.45</v>
      </c>
      <c r="I175" s="24" t="s">
        <v>152</v>
      </c>
      <c r="J175" s="12"/>
    </row>
    <row r="176" spans="1:10" ht="15.75" customHeight="1" x14ac:dyDescent="0.3">
      <c r="A176" s="15">
        <v>733014</v>
      </c>
      <c r="B176" s="22" t="s">
        <v>7</v>
      </c>
      <c r="C176" s="21">
        <v>4810797022828</v>
      </c>
      <c r="D176" s="20" t="s">
        <v>328</v>
      </c>
      <c r="E176" s="11">
        <v>1.45</v>
      </c>
      <c r="F176" s="24">
        <v>1.39</v>
      </c>
      <c r="G176" s="24">
        <v>1.37</v>
      </c>
      <c r="H176" s="24" t="s">
        <v>154</v>
      </c>
      <c r="I176" s="24" t="s">
        <v>152</v>
      </c>
      <c r="J176" s="12"/>
    </row>
    <row r="177" spans="1:10" ht="15.9" customHeight="1" x14ac:dyDescent="0.3">
      <c r="A177" s="15">
        <v>733031</v>
      </c>
      <c r="B177" s="22" t="s">
        <v>7</v>
      </c>
      <c r="C177" s="21">
        <v>4810263032276</v>
      </c>
      <c r="D177" s="20" t="s">
        <v>180</v>
      </c>
      <c r="E177" s="11">
        <v>8.67</v>
      </c>
      <c r="F177" s="24">
        <v>8.35</v>
      </c>
      <c r="G177" s="24"/>
      <c r="H177" s="24">
        <v>8.67</v>
      </c>
      <c r="I177" s="24">
        <v>8.67</v>
      </c>
      <c r="J177" s="12"/>
    </row>
    <row r="178" spans="1:10" ht="15.75" customHeight="1" x14ac:dyDescent="0.3">
      <c r="A178" s="15">
        <v>719201</v>
      </c>
      <c r="B178" s="22" t="s">
        <v>7</v>
      </c>
      <c r="C178" s="21">
        <v>4690228016790</v>
      </c>
      <c r="D178" s="20" t="s">
        <v>329</v>
      </c>
      <c r="E178" s="11">
        <v>0.96</v>
      </c>
      <c r="F178" s="24"/>
      <c r="G178" s="24"/>
      <c r="H178" s="24">
        <v>0.96</v>
      </c>
      <c r="I178" s="24" t="s">
        <v>483</v>
      </c>
      <c r="J178" s="12"/>
    </row>
    <row r="179" spans="1:10" ht="15.9" customHeight="1" x14ac:dyDescent="0.3">
      <c r="A179" s="15">
        <v>732920</v>
      </c>
      <c r="B179" s="22" t="s">
        <v>11</v>
      </c>
      <c r="C179" s="21">
        <v>4604248019747</v>
      </c>
      <c r="D179" s="20" t="s">
        <v>462</v>
      </c>
      <c r="E179" s="11">
        <v>5.44</v>
      </c>
      <c r="F179" s="24"/>
      <c r="G179" s="24"/>
      <c r="H179" s="24"/>
      <c r="I179" s="24"/>
      <c r="J179" s="12"/>
    </row>
    <row r="180" spans="1:10" ht="15.9" customHeight="1" x14ac:dyDescent="0.3">
      <c r="A180" s="15">
        <v>732965</v>
      </c>
      <c r="B180" s="22" t="s">
        <v>11</v>
      </c>
      <c r="C180" s="21">
        <v>4604248017712</v>
      </c>
      <c r="D180" s="20" t="s">
        <v>235</v>
      </c>
      <c r="E180" s="11">
        <v>4.1100000000000003</v>
      </c>
      <c r="F180" s="24"/>
      <c r="G180" s="24">
        <v>4.33</v>
      </c>
      <c r="H180" s="24"/>
      <c r="I180" s="24"/>
      <c r="J180" s="12"/>
    </row>
    <row r="181" spans="1:10" ht="15.9" customHeight="1" x14ac:dyDescent="0.3">
      <c r="A181" s="15">
        <v>733058</v>
      </c>
      <c r="B181" s="22" t="s">
        <v>0</v>
      </c>
      <c r="C181" s="21">
        <v>4810738007877</v>
      </c>
      <c r="D181" s="20" t="s">
        <v>2</v>
      </c>
      <c r="E181" s="11">
        <v>11.59</v>
      </c>
      <c r="F181" s="24">
        <v>10.98</v>
      </c>
      <c r="G181" s="24">
        <v>10.97</v>
      </c>
      <c r="H181" s="24">
        <v>11.03</v>
      </c>
      <c r="I181" s="24"/>
      <c r="J181" s="12"/>
    </row>
    <row r="182" spans="1:10" ht="15.9" customHeight="1" x14ac:dyDescent="0.3">
      <c r="A182" s="15">
        <v>583057</v>
      </c>
      <c r="B182" s="22" t="s">
        <v>25</v>
      </c>
      <c r="C182" s="21">
        <v>4607065000790</v>
      </c>
      <c r="D182" s="20" t="s">
        <v>26</v>
      </c>
      <c r="E182" s="11">
        <v>2.4900000000000002</v>
      </c>
      <c r="F182" s="24">
        <v>2.4900000000000002</v>
      </c>
      <c r="G182" s="24"/>
      <c r="H182" s="24">
        <v>2.7</v>
      </c>
      <c r="I182" s="24"/>
      <c r="J182" s="12"/>
    </row>
    <row r="183" spans="1:10" ht="15.9" customHeight="1" x14ac:dyDescent="0.3">
      <c r="A183" s="15">
        <v>514993</v>
      </c>
      <c r="B183" s="22" t="s">
        <v>25</v>
      </c>
      <c r="C183" s="21">
        <v>4607065000868</v>
      </c>
      <c r="D183" s="20" t="s">
        <v>330</v>
      </c>
      <c r="E183" s="11">
        <v>2.4900000000000002</v>
      </c>
      <c r="F183" s="24">
        <v>2.4900000000000002</v>
      </c>
      <c r="G183" s="24">
        <v>2.65</v>
      </c>
      <c r="H183" s="24">
        <v>2.7</v>
      </c>
      <c r="I183" s="24">
        <v>2.7</v>
      </c>
      <c r="J183" s="12"/>
    </row>
    <row r="184" spans="1:10" ht="15.9" customHeight="1" x14ac:dyDescent="0.3">
      <c r="A184" s="15">
        <v>665353</v>
      </c>
      <c r="B184" s="22" t="s">
        <v>25</v>
      </c>
      <c r="C184" s="21">
        <v>4011100156364</v>
      </c>
      <c r="D184" s="20" t="s">
        <v>27</v>
      </c>
      <c r="E184" s="11" t="s">
        <v>47</v>
      </c>
      <c r="F184" s="24">
        <v>1.84</v>
      </c>
      <c r="G184" s="24">
        <v>1.49</v>
      </c>
      <c r="H184" s="24" t="s">
        <v>454</v>
      </c>
      <c r="I184" s="24">
        <v>1.69</v>
      </c>
      <c r="J184" s="12"/>
    </row>
    <row r="185" spans="1:10" ht="15.9" customHeight="1" x14ac:dyDescent="0.3">
      <c r="A185" s="15">
        <v>706196</v>
      </c>
      <c r="B185" s="22" t="s">
        <v>3</v>
      </c>
      <c r="C185" s="21">
        <v>4810077001710</v>
      </c>
      <c r="D185" s="20" t="s">
        <v>331</v>
      </c>
      <c r="E185" s="11">
        <v>1.99</v>
      </c>
      <c r="F185" s="24"/>
      <c r="G185" s="24"/>
      <c r="H185" s="24"/>
      <c r="I185" s="24"/>
      <c r="J185" s="12"/>
    </row>
    <row r="186" spans="1:10" ht="15.9" customHeight="1" x14ac:dyDescent="0.3">
      <c r="A186" s="15">
        <v>14166</v>
      </c>
      <c r="B186" s="22" t="s">
        <v>12</v>
      </c>
      <c r="C186" s="21">
        <v>4810319015567</v>
      </c>
      <c r="D186" s="20" t="s">
        <v>332</v>
      </c>
      <c r="E186" s="11" t="s">
        <v>154</v>
      </c>
      <c r="F186" s="24"/>
      <c r="G186" s="24" t="s">
        <v>45</v>
      </c>
      <c r="H186" s="24"/>
      <c r="I186" s="24">
        <v>1.39</v>
      </c>
      <c r="J186" s="12"/>
    </row>
    <row r="187" spans="1:10" ht="15.9" customHeight="1" x14ac:dyDescent="0.3">
      <c r="A187" s="15">
        <v>520876</v>
      </c>
      <c r="B187" s="22" t="s">
        <v>12</v>
      </c>
      <c r="C187" s="21">
        <v>4810319015536</v>
      </c>
      <c r="D187" s="20" t="s">
        <v>333</v>
      </c>
      <c r="E187" s="11" t="s">
        <v>154</v>
      </c>
      <c r="F187" s="24"/>
      <c r="G187" s="24"/>
      <c r="H187" s="24">
        <v>1.37</v>
      </c>
      <c r="I187" s="24">
        <v>1.41</v>
      </c>
      <c r="J187" s="12"/>
    </row>
    <row r="188" spans="1:10" ht="15.9" customHeight="1" x14ac:dyDescent="0.3">
      <c r="A188" s="15">
        <v>733170</v>
      </c>
      <c r="B188" s="22" t="s">
        <v>3</v>
      </c>
      <c r="C188" s="21">
        <v>4606272032914</v>
      </c>
      <c r="D188" s="20" t="s">
        <v>334</v>
      </c>
      <c r="E188" s="11">
        <v>10.99</v>
      </c>
      <c r="F188" s="24"/>
      <c r="G188" s="24"/>
      <c r="H188" s="24"/>
      <c r="I188" s="24"/>
      <c r="J188" s="12"/>
    </row>
    <row r="189" spans="1:10" ht="15.9" customHeight="1" x14ac:dyDescent="0.3">
      <c r="A189" s="15">
        <v>666666</v>
      </c>
      <c r="B189" s="22" t="s">
        <v>3</v>
      </c>
      <c r="C189" s="21">
        <v>4600680025582</v>
      </c>
      <c r="D189" s="20" t="s">
        <v>432</v>
      </c>
      <c r="E189" s="11">
        <v>5.39</v>
      </c>
      <c r="F189" s="24">
        <v>3.9</v>
      </c>
      <c r="G189" s="24" t="s">
        <v>161</v>
      </c>
      <c r="H189" s="24">
        <v>5.39</v>
      </c>
      <c r="I189" s="24" t="s">
        <v>412</v>
      </c>
      <c r="J189" s="12"/>
    </row>
    <row r="190" spans="1:10" ht="15.9" customHeight="1" x14ac:dyDescent="0.3">
      <c r="A190" s="15">
        <v>733072</v>
      </c>
      <c r="B190" s="22" t="s">
        <v>25</v>
      </c>
      <c r="C190" s="21">
        <v>4810411016561</v>
      </c>
      <c r="D190" s="20" t="s">
        <v>335</v>
      </c>
      <c r="E190" s="11" t="s">
        <v>151</v>
      </c>
      <c r="F190" s="24"/>
      <c r="G190" s="24">
        <v>4.01</v>
      </c>
      <c r="H190" s="24">
        <v>5</v>
      </c>
      <c r="I190" s="24">
        <v>5.36</v>
      </c>
      <c r="J190" s="12"/>
    </row>
    <row r="191" spans="1:10" ht="15.9" customHeight="1" x14ac:dyDescent="0.3">
      <c r="A191" s="15">
        <v>233471</v>
      </c>
      <c r="B191" s="22" t="s">
        <v>25</v>
      </c>
      <c r="C191" s="21">
        <v>4811683001965</v>
      </c>
      <c r="D191" s="20" t="s">
        <v>336</v>
      </c>
      <c r="E191" s="11">
        <v>12.72</v>
      </c>
      <c r="F191" s="24"/>
      <c r="G191" s="24"/>
      <c r="H191" s="24">
        <v>12.28</v>
      </c>
      <c r="I191" s="24"/>
      <c r="J191" s="12"/>
    </row>
    <row r="192" spans="1:10" ht="15.9" customHeight="1" x14ac:dyDescent="0.3">
      <c r="A192" s="15">
        <v>733115</v>
      </c>
      <c r="B192" s="22" t="s">
        <v>25</v>
      </c>
      <c r="C192" s="21">
        <v>4810411012907</v>
      </c>
      <c r="D192" s="20" t="s">
        <v>337</v>
      </c>
      <c r="E192" s="11">
        <v>2.88</v>
      </c>
      <c r="F192" s="24"/>
      <c r="G192" s="24">
        <v>2.77</v>
      </c>
      <c r="H192" s="24">
        <v>3.1</v>
      </c>
      <c r="I192" s="24">
        <v>2.77</v>
      </c>
      <c r="J192" s="12"/>
    </row>
    <row r="193" spans="1:10" ht="15.9" customHeight="1" x14ac:dyDescent="0.3">
      <c r="A193" s="15">
        <v>733194</v>
      </c>
      <c r="B193" s="22" t="s">
        <v>25</v>
      </c>
      <c r="C193" s="21">
        <v>4810411014314</v>
      </c>
      <c r="D193" s="20" t="s">
        <v>338</v>
      </c>
      <c r="E193" s="11">
        <v>3.55</v>
      </c>
      <c r="F193" s="24">
        <v>3.49</v>
      </c>
      <c r="G193" s="24">
        <v>3.13</v>
      </c>
      <c r="H193" s="24">
        <v>3.66</v>
      </c>
      <c r="I193" s="24"/>
      <c r="J193" s="12"/>
    </row>
    <row r="194" spans="1:10" ht="15.9" customHeight="1" x14ac:dyDescent="0.3">
      <c r="A194" s="15">
        <v>733299</v>
      </c>
      <c r="B194" s="22" t="s">
        <v>25</v>
      </c>
      <c r="C194" s="21">
        <v>4810411014307</v>
      </c>
      <c r="D194" s="20" t="s">
        <v>339</v>
      </c>
      <c r="E194" s="11">
        <v>3.79</v>
      </c>
      <c r="F194" s="24"/>
      <c r="G194" s="24" t="s">
        <v>51</v>
      </c>
      <c r="H194" s="24">
        <v>3.04</v>
      </c>
      <c r="I194" s="24">
        <v>3.67</v>
      </c>
      <c r="J194" s="12"/>
    </row>
    <row r="195" spans="1:10" ht="15.75" customHeight="1" x14ac:dyDescent="0.3">
      <c r="A195" s="15">
        <v>710528</v>
      </c>
      <c r="B195" s="22" t="s">
        <v>24</v>
      </c>
      <c r="C195" s="21">
        <v>4810168062033</v>
      </c>
      <c r="D195" s="20" t="s">
        <v>460</v>
      </c>
      <c r="E195" s="11">
        <v>15.99</v>
      </c>
      <c r="F195" s="24"/>
      <c r="G195" s="24"/>
      <c r="H195" s="24"/>
      <c r="I195" s="24"/>
      <c r="J195" s="12"/>
    </row>
    <row r="196" spans="1:10" ht="15.9" customHeight="1" x14ac:dyDescent="0.3">
      <c r="A196" s="15"/>
      <c r="B196" s="22" t="s">
        <v>24</v>
      </c>
      <c r="C196" s="21">
        <v>4810168047986</v>
      </c>
      <c r="D196" s="20" t="s">
        <v>143</v>
      </c>
      <c r="E196" s="11">
        <v>3.51</v>
      </c>
      <c r="F196" s="24">
        <v>3.29</v>
      </c>
      <c r="G196" s="24" t="s">
        <v>42</v>
      </c>
      <c r="H196" s="24">
        <v>3.3</v>
      </c>
      <c r="I196" s="24">
        <v>3.58</v>
      </c>
      <c r="J196" s="12"/>
    </row>
    <row r="197" spans="1:10" ht="15.75" customHeight="1" x14ac:dyDescent="0.3">
      <c r="A197" s="15">
        <v>733287</v>
      </c>
      <c r="B197" s="22" t="s">
        <v>24</v>
      </c>
      <c r="C197" s="21">
        <v>4810168025793</v>
      </c>
      <c r="D197" s="20" t="s">
        <v>433</v>
      </c>
      <c r="E197" s="11">
        <v>4.99</v>
      </c>
      <c r="F197" s="24">
        <v>4.8899999999999997</v>
      </c>
      <c r="G197" s="24">
        <v>5.15</v>
      </c>
      <c r="H197" s="24">
        <v>4.82</v>
      </c>
      <c r="I197" s="24">
        <v>4.96</v>
      </c>
      <c r="J197" s="12"/>
    </row>
    <row r="198" spans="1:10" ht="15.9" customHeight="1" x14ac:dyDescent="0.3">
      <c r="A198" s="15">
        <v>733229</v>
      </c>
      <c r="B198" s="22" t="s">
        <v>24</v>
      </c>
      <c r="C198" s="21">
        <v>4810168024260</v>
      </c>
      <c r="D198" s="20" t="s">
        <v>340</v>
      </c>
      <c r="E198" s="11">
        <v>4.99</v>
      </c>
      <c r="F198" s="24">
        <v>4.95</v>
      </c>
      <c r="G198" s="24">
        <v>5.15</v>
      </c>
      <c r="H198" s="24">
        <v>4.82</v>
      </c>
      <c r="I198" s="24">
        <v>4.96</v>
      </c>
      <c r="J198" s="12"/>
    </row>
    <row r="199" spans="1:10" ht="15.9" customHeight="1" x14ac:dyDescent="0.3">
      <c r="A199" s="15">
        <v>711385</v>
      </c>
      <c r="B199" s="22" t="s">
        <v>12</v>
      </c>
      <c r="C199" s="21">
        <v>4810268038655</v>
      </c>
      <c r="D199" s="20" t="s">
        <v>447</v>
      </c>
      <c r="E199" s="11">
        <v>4.0599999999999996</v>
      </c>
      <c r="F199" s="24"/>
      <c r="G199" s="24">
        <v>4.05</v>
      </c>
      <c r="H199" s="24">
        <v>4.0599999999999996</v>
      </c>
      <c r="I199" s="24">
        <v>3.57</v>
      </c>
      <c r="J199" s="12"/>
    </row>
    <row r="200" spans="1:10" ht="15.9" customHeight="1" x14ac:dyDescent="0.3">
      <c r="A200" s="15">
        <v>717630</v>
      </c>
      <c r="B200" s="22" t="s">
        <v>12</v>
      </c>
      <c r="C200" s="21">
        <v>4810268025259</v>
      </c>
      <c r="D200" s="20" t="s">
        <v>448</v>
      </c>
      <c r="E200" s="11">
        <v>1.67</v>
      </c>
      <c r="F200" s="24">
        <v>1.65</v>
      </c>
      <c r="G200" s="24"/>
      <c r="H200" s="24">
        <v>1.67</v>
      </c>
      <c r="I200" s="24">
        <v>1.67</v>
      </c>
      <c r="J200" s="12"/>
    </row>
    <row r="201" spans="1:10" ht="15.9" customHeight="1" x14ac:dyDescent="0.3">
      <c r="A201" s="15">
        <v>493973</v>
      </c>
      <c r="B201" s="22" t="s">
        <v>12</v>
      </c>
      <c r="C201" s="21">
        <v>4810268031182</v>
      </c>
      <c r="D201" s="20" t="s">
        <v>449</v>
      </c>
      <c r="E201" s="11" t="s">
        <v>40</v>
      </c>
      <c r="F201" s="24">
        <v>2.16</v>
      </c>
      <c r="G201" s="24">
        <v>2.16</v>
      </c>
      <c r="H201" s="24">
        <v>2.17</v>
      </c>
      <c r="I201" s="24">
        <v>2.17</v>
      </c>
      <c r="J201" s="12"/>
    </row>
    <row r="202" spans="1:10" ht="15.9" customHeight="1" x14ac:dyDescent="0.3">
      <c r="A202" s="15">
        <v>733296</v>
      </c>
      <c r="B202" s="22" t="s">
        <v>12</v>
      </c>
      <c r="C202" s="21">
        <v>4810268031052</v>
      </c>
      <c r="D202" s="20" t="s">
        <v>341</v>
      </c>
      <c r="E202" s="11">
        <v>2.0299999999999998</v>
      </c>
      <c r="F202" s="24">
        <v>2.0299999999999998</v>
      </c>
      <c r="G202" s="24" t="s">
        <v>49</v>
      </c>
      <c r="H202" s="24">
        <v>2.0299999999999998</v>
      </c>
      <c r="I202" s="24">
        <v>2.0299999999999998</v>
      </c>
      <c r="J202" s="12"/>
    </row>
    <row r="203" spans="1:10" ht="15.9" customHeight="1" x14ac:dyDescent="0.3">
      <c r="A203" s="15">
        <v>733252</v>
      </c>
      <c r="B203" s="22" t="s">
        <v>12</v>
      </c>
      <c r="C203" s="21">
        <v>4810268037207</v>
      </c>
      <c r="D203" s="20" t="s">
        <v>223</v>
      </c>
      <c r="E203" s="11">
        <v>2.0299999999999998</v>
      </c>
      <c r="F203" s="24">
        <v>2.0299999999999998</v>
      </c>
      <c r="G203" s="24" t="s">
        <v>49</v>
      </c>
      <c r="H203" s="24">
        <v>2.0299999999999998</v>
      </c>
      <c r="I203" s="24">
        <v>2.0299999999999998</v>
      </c>
      <c r="J203" s="12"/>
    </row>
    <row r="204" spans="1:10" ht="15.9" customHeight="1" x14ac:dyDescent="0.3">
      <c r="A204" s="15"/>
      <c r="B204" s="22" t="s">
        <v>12</v>
      </c>
      <c r="C204" s="21">
        <v>4810268031045</v>
      </c>
      <c r="D204" s="20" t="s">
        <v>228</v>
      </c>
      <c r="E204" s="11">
        <v>2.0299999999999998</v>
      </c>
      <c r="F204" s="24">
        <v>2.0299999999999998</v>
      </c>
      <c r="G204" s="24" t="s">
        <v>49</v>
      </c>
      <c r="H204" s="24">
        <v>2.0299999999999998</v>
      </c>
      <c r="I204" s="24">
        <v>2.0299999999999998</v>
      </c>
      <c r="J204" s="12"/>
    </row>
    <row r="205" spans="1:10" ht="15.75" customHeight="1" x14ac:dyDescent="0.3">
      <c r="A205" s="15">
        <v>576779</v>
      </c>
      <c r="B205" s="22" t="s">
        <v>12</v>
      </c>
      <c r="C205" s="21">
        <v>4810268024313</v>
      </c>
      <c r="D205" s="20" t="s">
        <v>222</v>
      </c>
      <c r="E205" s="11">
        <v>1.95</v>
      </c>
      <c r="F205" s="11">
        <v>1.95</v>
      </c>
      <c r="G205" s="11">
        <v>1.95</v>
      </c>
      <c r="H205" s="11">
        <v>1.95</v>
      </c>
      <c r="I205" s="11">
        <v>1.95</v>
      </c>
      <c r="J205" s="12"/>
    </row>
    <row r="206" spans="1:10" ht="15.9" customHeight="1" x14ac:dyDescent="0.3">
      <c r="A206" s="15"/>
      <c r="B206" s="22" t="s">
        <v>12</v>
      </c>
      <c r="C206" s="21">
        <v>4810268029455</v>
      </c>
      <c r="D206" s="20" t="s">
        <v>450</v>
      </c>
      <c r="E206" s="11">
        <v>2.2000000000000002</v>
      </c>
      <c r="F206" s="24">
        <v>2.19</v>
      </c>
      <c r="G206" s="11">
        <v>2.2000000000000002</v>
      </c>
      <c r="H206" s="11">
        <v>2.2000000000000002</v>
      </c>
      <c r="I206" s="11">
        <v>2.2000000000000002</v>
      </c>
      <c r="J206" s="12"/>
    </row>
    <row r="207" spans="1:10" ht="15.9" customHeight="1" x14ac:dyDescent="0.3">
      <c r="A207" s="15"/>
      <c r="B207" s="22" t="s">
        <v>12</v>
      </c>
      <c r="C207" s="21">
        <v>4810268024375</v>
      </c>
      <c r="D207" s="20" t="s">
        <v>451</v>
      </c>
      <c r="E207" s="11">
        <v>2.2000000000000002</v>
      </c>
      <c r="F207" s="24">
        <v>2.19</v>
      </c>
      <c r="G207" s="24">
        <v>2.19</v>
      </c>
      <c r="H207" s="11">
        <v>2.2000000000000002</v>
      </c>
      <c r="I207" s="24">
        <v>2.0299999999999998</v>
      </c>
      <c r="J207" s="12"/>
    </row>
    <row r="208" spans="1:10" ht="15.9" customHeight="1" x14ac:dyDescent="0.3">
      <c r="A208" s="15"/>
      <c r="B208" s="22" t="s">
        <v>12</v>
      </c>
      <c r="C208" s="21">
        <v>4810268032745</v>
      </c>
      <c r="D208" s="20" t="s">
        <v>144</v>
      </c>
      <c r="E208" s="11">
        <v>2.2999999999999998</v>
      </c>
      <c r="F208" s="24">
        <v>2.29</v>
      </c>
      <c r="G208" s="24">
        <v>2.29</v>
      </c>
      <c r="H208" s="11">
        <v>2.2999999999999998</v>
      </c>
      <c r="I208" s="11">
        <v>2.2999999999999998</v>
      </c>
      <c r="J208" s="12"/>
    </row>
    <row r="209" spans="1:10" ht="15.9" customHeight="1" x14ac:dyDescent="0.3">
      <c r="A209" s="15">
        <v>22222</v>
      </c>
      <c r="B209" s="22" t="s">
        <v>12</v>
      </c>
      <c r="C209" s="21">
        <v>4810268032738</v>
      </c>
      <c r="D209" s="20" t="s">
        <v>218</v>
      </c>
      <c r="E209" s="11">
        <v>2.2999999999999998</v>
      </c>
      <c r="F209" s="24">
        <v>2.29</v>
      </c>
      <c r="G209" s="24">
        <v>2.29</v>
      </c>
      <c r="H209" s="11">
        <v>2.2999999999999998</v>
      </c>
      <c r="I209" s="24"/>
      <c r="J209" s="12"/>
    </row>
    <row r="210" spans="1:10" ht="15.9" customHeight="1" x14ac:dyDescent="0.3">
      <c r="A210" s="15">
        <v>732943</v>
      </c>
      <c r="B210" s="22" t="s">
        <v>12</v>
      </c>
      <c r="C210" s="21">
        <v>4810268038006</v>
      </c>
      <c r="D210" s="20" t="s">
        <v>342</v>
      </c>
      <c r="E210" s="11">
        <v>1.44</v>
      </c>
      <c r="F210" s="11">
        <v>1.44</v>
      </c>
      <c r="G210" s="11">
        <v>1.44</v>
      </c>
      <c r="H210" s="11">
        <v>1.44</v>
      </c>
      <c r="I210" s="24" t="s">
        <v>52</v>
      </c>
      <c r="J210" s="12"/>
    </row>
    <row r="211" spans="1:10" ht="15.9" customHeight="1" x14ac:dyDescent="0.3">
      <c r="A211" s="15">
        <v>732911</v>
      </c>
      <c r="B211" s="22" t="s">
        <v>12</v>
      </c>
      <c r="C211" s="21">
        <v>4810268038013</v>
      </c>
      <c r="D211" s="20" t="s">
        <v>343</v>
      </c>
      <c r="E211" s="11">
        <v>1.44</v>
      </c>
      <c r="F211" s="11">
        <v>1.44</v>
      </c>
      <c r="G211" s="11">
        <v>1.44</v>
      </c>
      <c r="H211" s="11">
        <v>1.44</v>
      </c>
      <c r="I211" s="24"/>
      <c r="J211" s="12"/>
    </row>
    <row r="212" spans="1:10" ht="15.9" customHeight="1" x14ac:dyDescent="0.3">
      <c r="A212" s="15">
        <v>732940</v>
      </c>
      <c r="B212" s="22" t="s">
        <v>12</v>
      </c>
      <c r="C212" s="21">
        <v>4810268038037</v>
      </c>
      <c r="D212" s="20" t="s">
        <v>226</v>
      </c>
      <c r="E212" s="11">
        <v>2.2999999999999998</v>
      </c>
      <c r="F212" s="11">
        <v>2.2999999999999998</v>
      </c>
      <c r="G212" s="11">
        <v>2.2999999999999998</v>
      </c>
      <c r="H212" s="24"/>
      <c r="I212" s="11">
        <v>2.2999999999999998</v>
      </c>
      <c r="J212" s="12"/>
    </row>
    <row r="213" spans="1:10" ht="15.9" customHeight="1" x14ac:dyDescent="0.3">
      <c r="A213" s="15"/>
      <c r="B213" s="22" t="s">
        <v>12</v>
      </c>
      <c r="C213" s="21">
        <v>4810268030390</v>
      </c>
      <c r="D213" s="20" t="s">
        <v>344</v>
      </c>
      <c r="E213" s="11">
        <v>1.44</v>
      </c>
      <c r="F213" s="11">
        <v>1.44</v>
      </c>
      <c r="G213" s="11">
        <v>1.44</v>
      </c>
      <c r="H213" s="11">
        <v>1.44</v>
      </c>
      <c r="I213" s="24" t="s">
        <v>52</v>
      </c>
      <c r="J213" s="12"/>
    </row>
    <row r="214" spans="1:10" ht="15.9" customHeight="1" x14ac:dyDescent="0.3">
      <c r="A214" s="15"/>
      <c r="B214" s="22" t="s">
        <v>12</v>
      </c>
      <c r="C214" s="21">
        <v>4810268031816</v>
      </c>
      <c r="D214" s="20" t="s">
        <v>345</v>
      </c>
      <c r="E214" s="11">
        <v>1.44</v>
      </c>
      <c r="F214" s="11">
        <v>1.44</v>
      </c>
      <c r="G214" s="11">
        <v>1.44</v>
      </c>
      <c r="H214" s="11">
        <v>1.44</v>
      </c>
      <c r="I214" s="24" t="s">
        <v>52</v>
      </c>
      <c r="J214" s="12"/>
    </row>
    <row r="215" spans="1:10" ht="15.9" customHeight="1" x14ac:dyDescent="0.3">
      <c r="A215" s="15">
        <v>732941</v>
      </c>
      <c r="B215" s="22" t="s">
        <v>12</v>
      </c>
      <c r="C215" s="21">
        <v>4810268030376</v>
      </c>
      <c r="D215" s="20" t="s">
        <v>346</v>
      </c>
      <c r="E215" s="11">
        <v>1.44</v>
      </c>
      <c r="F215" s="11">
        <v>1.44</v>
      </c>
      <c r="G215" s="11">
        <v>1.44</v>
      </c>
      <c r="H215" s="11">
        <v>1.44</v>
      </c>
      <c r="I215" s="24" t="s">
        <v>52</v>
      </c>
      <c r="J215" s="12"/>
    </row>
    <row r="216" spans="1:10" ht="15.9" customHeight="1" x14ac:dyDescent="0.3">
      <c r="A216" s="15">
        <v>33042</v>
      </c>
      <c r="B216" s="22" t="s">
        <v>12</v>
      </c>
      <c r="C216" s="21">
        <v>4810268031793</v>
      </c>
      <c r="D216" s="20" t="s">
        <v>14</v>
      </c>
      <c r="E216" s="11">
        <v>2.0699999999999998</v>
      </c>
      <c r="F216" s="24">
        <v>2.06</v>
      </c>
      <c r="G216" s="32">
        <v>2.0499999999999998</v>
      </c>
      <c r="H216" s="11">
        <v>2.0699999999999998</v>
      </c>
      <c r="I216" s="11">
        <v>2.0699999999999998</v>
      </c>
      <c r="J216" s="12"/>
    </row>
    <row r="217" spans="1:10" ht="15.9" customHeight="1" x14ac:dyDescent="0.3">
      <c r="A217" s="15">
        <v>732921</v>
      </c>
      <c r="B217" s="22" t="s">
        <v>12</v>
      </c>
      <c r="C217" s="21">
        <v>4810268030383</v>
      </c>
      <c r="D217" s="20" t="s">
        <v>347</v>
      </c>
      <c r="E217" s="11">
        <v>1.44</v>
      </c>
      <c r="F217" s="24"/>
      <c r="G217" s="11">
        <v>1.44</v>
      </c>
      <c r="H217" s="11">
        <v>1.44</v>
      </c>
      <c r="I217" s="24"/>
      <c r="J217" s="12"/>
    </row>
    <row r="218" spans="1:10" ht="15.9" customHeight="1" x14ac:dyDescent="0.3">
      <c r="A218" s="15">
        <v>732958</v>
      </c>
      <c r="B218" s="22" t="s">
        <v>12</v>
      </c>
      <c r="C218" s="21">
        <v>4810268035937</v>
      </c>
      <c r="D218" s="20" t="s">
        <v>217</v>
      </c>
      <c r="E218" s="11">
        <v>2.27</v>
      </c>
      <c r="F218" s="11">
        <v>2.27</v>
      </c>
      <c r="G218" s="11">
        <v>2.27</v>
      </c>
      <c r="H218" s="11">
        <v>2.27</v>
      </c>
      <c r="I218" s="24"/>
      <c r="J218" s="12"/>
    </row>
    <row r="219" spans="1:10" ht="15.9" customHeight="1" x14ac:dyDescent="0.3">
      <c r="A219" s="15">
        <v>529861</v>
      </c>
      <c r="B219" s="22" t="s">
        <v>12</v>
      </c>
      <c r="C219" s="21">
        <v>4600605028254</v>
      </c>
      <c r="D219" s="20" t="s">
        <v>348</v>
      </c>
      <c r="E219" s="11">
        <v>1.43</v>
      </c>
      <c r="F219" s="24">
        <v>1.42</v>
      </c>
      <c r="G219" s="24">
        <v>1.43</v>
      </c>
      <c r="H219" s="24">
        <v>1.43</v>
      </c>
      <c r="I219" s="24"/>
      <c r="J219" s="12"/>
    </row>
    <row r="220" spans="1:10" ht="15.9" customHeight="1" x14ac:dyDescent="0.3">
      <c r="A220" s="15">
        <v>66666</v>
      </c>
      <c r="B220" s="22" t="s">
        <v>12</v>
      </c>
      <c r="C220" s="21">
        <v>4600605021781</v>
      </c>
      <c r="D220" s="20" t="s">
        <v>184</v>
      </c>
      <c r="E220" s="11">
        <v>1.3</v>
      </c>
      <c r="F220" s="24">
        <v>1.41</v>
      </c>
      <c r="G220" s="24">
        <v>1.41</v>
      </c>
      <c r="H220" s="24">
        <v>1.41</v>
      </c>
      <c r="I220" s="24">
        <v>1.41</v>
      </c>
      <c r="J220" s="12"/>
    </row>
    <row r="221" spans="1:10" ht="15.9" customHeight="1" x14ac:dyDescent="0.3">
      <c r="A221" s="15">
        <v>733114</v>
      </c>
      <c r="B221" s="22" t="s">
        <v>12</v>
      </c>
      <c r="C221" s="21">
        <v>4600605029657</v>
      </c>
      <c r="D221" s="20" t="s">
        <v>349</v>
      </c>
      <c r="E221" s="11">
        <v>1.45</v>
      </c>
      <c r="F221" s="24"/>
      <c r="G221" s="24"/>
      <c r="H221" s="24"/>
      <c r="I221" s="24"/>
      <c r="J221" s="12"/>
    </row>
    <row r="222" spans="1:10" ht="15.9" customHeight="1" x14ac:dyDescent="0.3">
      <c r="A222" s="15">
        <v>505666</v>
      </c>
      <c r="B222" s="22" t="s">
        <v>12</v>
      </c>
      <c r="C222" s="21">
        <v>4810268024542</v>
      </c>
      <c r="D222" s="20" t="s">
        <v>350</v>
      </c>
      <c r="E222" s="11">
        <v>0.94</v>
      </c>
      <c r="F222" s="24"/>
      <c r="G222" s="24"/>
      <c r="H222" s="24"/>
      <c r="I222" s="24"/>
      <c r="J222" s="12"/>
    </row>
    <row r="223" spans="1:10" ht="15.9" customHeight="1" x14ac:dyDescent="0.3">
      <c r="A223" s="15">
        <v>339197</v>
      </c>
      <c r="B223" s="22" t="s">
        <v>12</v>
      </c>
      <c r="C223" s="21">
        <v>4810268024559</v>
      </c>
      <c r="D223" s="20" t="s">
        <v>13</v>
      </c>
      <c r="E223" s="11">
        <v>0.94</v>
      </c>
      <c r="F223" s="11">
        <v>0.93</v>
      </c>
      <c r="G223" s="11" t="s">
        <v>50</v>
      </c>
      <c r="H223" s="11" t="s">
        <v>50</v>
      </c>
      <c r="I223" s="11">
        <v>0.94</v>
      </c>
      <c r="J223" s="12"/>
    </row>
    <row r="224" spans="1:10" ht="15.9" customHeight="1" x14ac:dyDescent="0.3">
      <c r="A224" s="15">
        <v>732961</v>
      </c>
      <c r="B224" s="22" t="s">
        <v>12</v>
      </c>
      <c r="C224" s="21">
        <v>4810263035901</v>
      </c>
      <c r="D224" s="20" t="s">
        <v>227</v>
      </c>
      <c r="E224" s="11">
        <v>1.18</v>
      </c>
      <c r="F224" s="24">
        <v>1.17</v>
      </c>
      <c r="G224" s="11">
        <v>1.18</v>
      </c>
      <c r="H224" s="11">
        <v>1.18</v>
      </c>
      <c r="I224" s="24"/>
      <c r="J224" s="12"/>
    </row>
    <row r="225" spans="1:10" ht="15.75" customHeight="1" x14ac:dyDescent="0.3">
      <c r="A225" s="15">
        <v>732967</v>
      </c>
      <c r="B225" s="22" t="s">
        <v>12</v>
      </c>
      <c r="C225" s="21">
        <v>4810263035918</v>
      </c>
      <c r="D225" s="20" t="s">
        <v>225</v>
      </c>
      <c r="E225" s="11">
        <v>1.18</v>
      </c>
      <c r="F225" s="24">
        <v>1.17</v>
      </c>
      <c r="G225" s="11">
        <v>1.18</v>
      </c>
      <c r="H225" s="11">
        <v>1.18</v>
      </c>
      <c r="I225" s="24"/>
      <c r="J225" s="12"/>
    </row>
    <row r="226" spans="1:10" ht="15.75" customHeight="1" x14ac:dyDescent="0.3">
      <c r="A226" s="15">
        <v>732963</v>
      </c>
      <c r="B226" s="22" t="s">
        <v>12</v>
      </c>
      <c r="C226" s="21">
        <v>4810263035925</v>
      </c>
      <c r="D226" s="20" t="s">
        <v>224</v>
      </c>
      <c r="E226" s="11">
        <v>1.18</v>
      </c>
      <c r="F226" s="24">
        <v>1.17</v>
      </c>
      <c r="G226" s="11">
        <v>1.18</v>
      </c>
      <c r="H226" s="11">
        <v>1.18</v>
      </c>
      <c r="I226" s="24" t="s">
        <v>417</v>
      </c>
      <c r="J226" s="12"/>
    </row>
    <row r="227" spans="1:10" ht="15.9" customHeight="1" x14ac:dyDescent="0.3">
      <c r="A227" s="15">
        <v>299024</v>
      </c>
      <c r="B227" s="22" t="s">
        <v>12</v>
      </c>
      <c r="C227" s="21">
        <v>4810268045905</v>
      </c>
      <c r="D227" s="20" t="s">
        <v>351</v>
      </c>
      <c r="E227" s="11">
        <v>1.53</v>
      </c>
      <c r="F227" s="24" t="s">
        <v>152</v>
      </c>
      <c r="G227" s="24">
        <v>1.74</v>
      </c>
      <c r="H227" s="24">
        <v>1.74</v>
      </c>
      <c r="I227" s="24">
        <v>1.74</v>
      </c>
      <c r="J227" s="12"/>
    </row>
    <row r="228" spans="1:10" ht="15.75" customHeight="1" x14ac:dyDescent="0.3">
      <c r="A228" s="15">
        <v>232789</v>
      </c>
      <c r="B228" s="22" t="s">
        <v>12</v>
      </c>
      <c r="C228" s="21">
        <v>4810268032516</v>
      </c>
      <c r="D228" s="20" t="s">
        <v>229</v>
      </c>
      <c r="E228" s="11">
        <v>0.94</v>
      </c>
      <c r="F228" s="11">
        <v>0.94</v>
      </c>
      <c r="G228" s="11" t="s">
        <v>50</v>
      </c>
      <c r="H228" s="11" t="s">
        <v>50</v>
      </c>
      <c r="I228" s="11">
        <v>0.94</v>
      </c>
      <c r="J228" s="12"/>
    </row>
    <row r="229" spans="1:10" ht="15.75" customHeight="1" x14ac:dyDescent="0.3">
      <c r="A229" s="15">
        <v>34277</v>
      </c>
      <c r="B229" s="22" t="s">
        <v>12</v>
      </c>
      <c r="C229" s="21">
        <v>4810268045684</v>
      </c>
      <c r="D229" s="20" t="s">
        <v>352</v>
      </c>
      <c r="E229" s="11">
        <v>1.44</v>
      </c>
      <c r="F229" s="11">
        <v>1.44</v>
      </c>
      <c r="G229" s="24"/>
      <c r="H229" s="11">
        <v>1.44</v>
      </c>
      <c r="I229" s="24" t="s">
        <v>52</v>
      </c>
      <c r="J229" s="12"/>
    </row>
    <row r="230" spans="1:10" ht="15.75" customHeight="1" x14ac:dyDescent="0.3">
      <c r="A230" s="15">
        <v>732944</v>
      </c>
      <c r="B230" s="22" t="s">
        <v>3</v>
      </c>
      <c r="C230" s="21">
        <v>4810410036430</v>
      </c>
      <c r="D230" s="20" t="s">
        <v>353</v>
      </c>
      <c r="E230" s="11">
        <v>3.26</v>
      </c>
      <c r="F230" s="24">
        <v>2.89</v>
      </c>
      <c r="G230" s="24" t="s">
        <v>41</v>
      </c>
      <c r="H230" s="24">
        <v>3.15</v>
      </c>
      <c r="I230" s="24">
        <v>2.81</v>
      </c>
      <c r="J230" s="12"/>
    </row>
    <row r="231" spans="1:10" ht="15.9" customHeight="1" x14ac:dyDescent="0.3">
      <c r="A231" s="15">
        <v>732950</v>
      </c>
      <c r="B231" s="22" t="s">
        <v>24</v>
      </c>
      <c r="C231" s="21">
        <v>4620749622217</v>
      </c>
      <c r="D231" s="20" t="s">
        <v>434</v>
      </c>
      <c r="E231" s="11">
        <v>5.49</v>
      </c>
      <c r="F231" s="24"/>
      <c r="G231" s="24"/>
      <c r="H231" s="24"/>
      <c r="I231" s="24">
        <v>5.14</v>
      </c>
      <c r="J231" s="12"/>
    </row>
    <row r="232" spans="1:10" ht="15.9" customHeight="1" x14ac:dyDescent="0.3">
      <c r="A232" s="15">
        <v>621208</v>
      </c>
      <c r="B232" s="22" t="s">
        <v>24</v>
      </c>
      <c r="C232" s="21">
        <v>4810168039707</v>
      </c>
      <c r="D232" s="20" t="s">
        <v>198</v>
      </c>
      <c r="E232" s="11" t="s">
        <v>43</v>
      </c>
      <c r="F232" s="24" t="s">
        <v>43</v>
      </c>
      <c r="G232" s="24" t="s">
        <v>43</v>
      </c>
      <c r="H232" s="24">
        <v>3.34</v>
      </c>
      <c r="I232" s="24" t="s">
        <v>156</v>
      </c>
      <c r="J232" s="12"/>
    </row>
    <row r="233" spans="1:10" ht="15.9" customHeight="1" x14ac:dyDescent="0.3">
      <c r="A233" s="15">
        <v>33333</v>
      </c>
      <c r="B233" s="22" t="s">
        <v>24</v>
      </c>
      <c r="C233" s="21">
        <v>4810168019884</v>
      </c>
      <c r="D233" s="20" t="s">
        <v>354</v>
      </c>
      <c r="E233" s="11">
        <v>2.69</v>
      </c>
      <c r="F233" s="24">
        <v>2.63</v>
      </c>
      <c r="G233" s="24"/>
      <c r="H233" s="24">
        <v>2.64</v>
      </c>
      <c r="I233" s="24">
        <v>2.73</v>
      </c>
      <c r="J233" s="12"/>
    </row>
    <row r="234" spans="1:10" ht="15.9" customHeight="1" x14ac:dyDescent="0.3">
      <c r="A234" s="15">
        <v>733166</v>
      </c>
      <c r="B234" s="22" t="s">
        <v>25</v>
      </c>
      <c r="C234" s="21">
        <v>6921211114420</v>
      </c>
      <c r="D234" s="20" t="s">
        <v>435</v>
      </c>
      <c r="E234" s="11" t="s">
        <v>47</v>
      </c>
      <c r="F234" s="24">
        <v>1.59</v>
      </c>
      <c r="G234" s="24">
        <v>1.49</v>
      </c>
      <c r="H234" s="24">
        <v>1.61</v>
      </c>
      <c r="I234" s="24"/>
      <c r="J234" s="12"/>
    </row>
    <row r="235" spans="1:10" ht="15.9" customHeight="1" x14ac:dyDescent="0.3">
      <c r="A235" s="15">
        <v>11111</v>
      </c>
      <c r="B235" s="22" t="s">
        <v>10</v>
      </c>
      <c r="C235" s="21">
        <v>17869</v>
      </c>
      <c r="D235" s="20" t="s">
        <v>374</v>
      </c>
      <c r="E235" s="11">
        <v>20.079999999999998</v>
      </c>
      <c r="F235" s="24"/>
      <c r="G235" s="24"/>
      <c r="H235" s="24"/>
      <c r="I235" s="24"/>
      <c r="J235" s="12"/>
    </row>
    <row r="236" spans="1:10" ht="15.9" customHeight="1" x14ac:dyDescent="0.3">
      <c r="A236" s="15">
        <v>732919</v>
      </c>
      <c r="B236" s="22" t="s">
        <v>10</v>
      </c>
      <c r="C236" s="21">
        <v>11658</v>
      </c>
      <c r="D236" s="20" t="s">
        <v>375</v>
      </c>
      <c r="E236" s="11">
        <v>19.28</v>
      </c>
      <c r="F236" s="24"/>
      <c r="G236" s="24"/>
      <c r="H236" s="24"/>
      <c r="I236" s="24"/>
      <c r="J236" s="12"/>
    </row>
    <row r="237" spans="1:10" ht="15.9" customHeight="1" x14ac:dyDescent="0.3">
      <c r="A237" s="15">
        <v>719686</v>
      </c>
      <c r="B237" s="22" t="s">
        <v>3</v>
      </c>
      <c r="C237" s="21">
        <v>4606272010486</v>
      </c>
      <c r="D237" s="20" t="s">
        <v>355</v>
      </c>
      <c r="E237" s="11">
        <v>6.63</v>
      </c>
      <c r="F237" s="24" t="s">
        <v>158</v>
      </c>
      <c r="G237" s="24">
        <v>6.47</v>
      </c>
      <c r="H237" s="24"/>
      <c r="I237" s="24"/>
      <c r="J237" s="12"/>
    </row>
    <row r="238" spans="1:10" ht="15.9" customHeight="1" x14ac:dyDescent="0.3">
      <c r="A238" s="15"/>
      <c r="B238" s="22" t="s">
        <v>3</v>
      </c>
      <c r="C238" s="21">
        <v>4606272010424</v>
      </c>
      <c r="D238" s="20" t="s">
        <v>215</v>
      </c>
      <c r="E238" s="11" t="s">
        <v>48</v>
      </c>
      <c r="F238" s="24" t="s">
        <v>50</v>
      </c>
      <c r="G238" s="24">
        <v>1.2</v>
      </c>
      <c r="H238" s="24"/>
      <c r="I238" s="24">
        <v>1.3</v>
      </c>
      <c r="J238" s="12"/>
    </row>
    <row r="239" spans="1:10" ht="15.9" customHeight="1" x14ac:dyDescent="0.3">
      <c r="A239" s="15">
        <v>122341</v>
      </c>
      <c r="B239" s="22" t="s">
        <v>3</v>
      </c>
      <c r="C239" s="21">
        <v>4810814001393</v>
      </c>
      <c r="D239" s="20" t="s">
        <v>356</v>
      </c>
      <c r="E239" s="11">
        <v>3.59</v>
      </c>
      <c r="F239" s="24"/>
      <c r="G239" s="24">
        <v>2.92</v>
      </c>
      <c r="H239" s="24"/>
      <c r="I239" s="24">
        <v>3.5</v>
      </c>
      <c r="J239" s="12"/>
    </row>
    <row r="240" spans="1:10" ht="15.9" customHeight="1" x14ac:dyDescent="0.3">
      <c r="A240" s="15">
        <v>732955</v>
      </c>
      <c r="B240" s="22" t="s">
        <v>18</v>
      </c>
      <c r="C240" s="21">
        <v>4810038008086</v>
      </c>
      <c r="D240" s="20" t="s">
        <v>436</v>
      </c>
      <c r="E240" s="11" t="s">
        <v>415</v>
      </c>
      <c r="F240" s="24">
        <v>2.4500000000000002</v>
      </c>
      <c r="G240" s="24"/>
      <c r="H240" s="24"/>
      <c r="I240" s="24">
        <v>2.95</v>
      </c>
      <c r="J240" s="12"/>
    </row>
    <row r="241" spans="1:10" ht="15.9" customHeight="1" x14ac:dyDescent="0.3">
      <c r="A241" s="15"/>
      <c r="B241" s="22" t="s">
        <v>18</v>
      </c>
      <c r="C241" s="21">
        <v>4810038006266</v>
      </c>
      <c r="D241" s="20" t="s">
        <v>357</v>
      </c>
      <c r="E241" s="11">
        <v>3.1</v>
      </c>
      <c r="F241" s="24">
        <v>2.33</v>
      </c>
      <c r="G241" s="24"/>
      <c r="H241" s="24">
        <v>3.1</v>
      </c>
      <c r="I241" s="24">
        <v>2.56</v>
      </c>
      <c r="J241" s="12"/>
    </row>
    <row r="242" spans="1:10" ht="15.9" customHeight="1" x14ac:dyDescent="0.3">
      <c r="A242" s="15">
        <v>691691</v>
      </c>
      <c r="B242" s="22" t="s">
        <v>18</v>
      </c>
      <c r="C242" s="21">
        <v>4810038006921</v>
      </c>
      <c r="D242" s="20" t="s">
        <v>173</v>
      </c>
      <c r="E242" s="11">
        <v>2.59</v>
      </c>
      <c r="F242" s="24">
        <v>2.35</v>
      </c>
      <c r="G242" s="24">
        <v>2.58</v>
      </c>
      <c r="H242" s="24" t="s">
        <v>485</v>
      </c>
      <c r="I242" s="24" t="s">
        <v>148</v>
      </c>
      <c r="J242" s="12"/>
    </row>
    <row r="243" spans="1:10" ht="15.9" customHeight="1" x14ac:dyDescent="0.3">
      <c r="A243" s="15">
        <v>339196</v>
      </c>
      <c r="B243" s="22" t="s">
        <v>18</v>
      </c>
      <c r="C243" s="21">
        <v>4810285006743</v>
      </c>
      <c r="D243" s="20" t="s">
        <v>19</v>
      </c>
      <c r="E243" s="11" t="s">
        <v>149</v>
      </c>
      <c r="F243" s="24">
        <v>2.79</v>
      </c>
      <c r="G243" s="24">
        <v>2.92</v>
      </c>
      <c r="H243" s="24">
        <v>2.82</v>
      </c>
      <c r="I243" s="24" t="s">
        <v>149</v>
      </c>
      <c r="J243" s="12"/>
    </row>
    <row r="244" spans="1:10" ht="15.75" customHeight="1" x14ac:dyDescent="0.3">
      <c r="A244" s="15">
        <v>732968</v>
      </c>
      <c r="B244" s="22" t="s">
        <v>18</v>
      </c>
      <c r="C244" s="21">
        <v>4810285008402</v>
      </c>
      <c r="D244" s="20" t="s">
        <v>170</v>
      </c>
      <c r="E244" s="11">
        <v>1.99</v>
      </c>
      <c r="F244" s="24">
        <v>1.81</v>
      </c>
      <c r="G244" s="24"/>
      <c r="H244" s="24"/>
      <c r="I244" s="24">
        <v>2.41</v>
      </c>
      <c r="J244" s="12"/>
    </row>
    <row r="245" spans="1:10" ht="15.9" customHeight="1" x14ac:dyDescent="0.3">
      <c r="A245" s="15">
        <v>732945</v>
      </c>
      <c r="B245" s="22" t="s">
        <v>18</v>
      </c>
      <c r="C245" s="21">
        <v>4811222003979</v>
      </c>
      <c r="D245" s="20" t="s">
        <v>20</v>
      </c>
      <c r="E245" s="11">
        <v>2.4900000000000002</v>
      </c>
      <c r="F245" s="24" t="s">
        <v>148</v>
      </c>
      <c r="G245" s="24">
        <v>2.4500000000000002</v>
      </c>
      <c r="H245" s="24">
        <v>3.02</v>
      </c>
      <c r="I245" s="24">
        <v>3.15</v>
      </c>
      <c r="J245" s="12"/>
    </row>
    <row r="246" spans="1:10" ht="15.9" customHeight="1" x14ac:dyDescent="0.3">
      <c r="A246" s="15">
        <v>110236</v>
      </c>
      <c r="B246" s="22" t="s">
        <v>18</v>
      </c>
      <c r="C246" s="21">
        <v>4811222003986</v>
      </c>
      <c r="D246" s="20" t="s">
        <v>358</v>
      </c>
      <c r="E246" s="11" t="s">
        <v>149</v>
      </c>
      <c r="F246" s="24">
        <v>2.39</v>
      </c>
      <c r="G246" s="24">
        <v>2.52</v>
      </c>
      <c r="H246" s="24">
        <v>2.9</v>
      </c>
      <c r="I246" s="24" t="s">
        <v>149</v>
      </c>
      <c r="J246" s="12"/>
    </row>
    <row r="247" spans="1:10" ht="15.9" customHeight="1" x14ac:dyDescent="0.3">
      <c r="A247" s="15">
        <v>733030</v>
      </c>
      <c r="B247" s="22" t="s">
        <v>18</v>
      </c>
      <c r="C247" s="21">
        <v>4811222005409</v>
      </c>
      <c r="D247" s="20" t="s">
        <v>359</v>
      </c>
      <c r="E247" s="11">
        <v>3.1</v>
      </c>
      <c r="F247" s="24">
        <v>2.99</v>
      </c>
      <c r="G247" s="24"/>
      <c r="H247" s="24">
        <v>3.29</v>
      </c>
      <c r="I247" s="24"/>
      <c r="J247" s="12"/>
    </row>
    <row r="248" spans="1:10" ht="15.9" customHeight="1" x14ac:dyDescent="0.3">
      <c r="A248" s="15">
        <v>732975</v>
      </c>
      <c r="B248" s="22" t="s">
        <v>11</v>
      </c>
      <c r="C248" s="21">
        <v>4604248020750</v>
      </c>
      <c r="D248" s="20" t="s">
        <v>464</v>
      </c>
      <c r="E248" s="11">
        <v>2.5099999999999998</v>
      </c>
      <c r="F248" s="24">
        <v>2.59</v>
      </c>
      <c r="G248" s="24">
        <v>2.69</v>
      </c>
      <c r="H248" s="24">
        <v>2.69</v>
      </c>
      <c r="I248" s="24">
        <v>2.66</v>
      </c>
      <c r="J248" s="12"/>
    </row>
    <row r="249" spans="1:10" ht="15.9" customHeight="1" x14ac:dyDescent="0.3">
      <c r="A249" s="15">
        <v>17673</v>
      </c>
      <c r="B249" s="22" t="s">
        <v>11</v>
      </c>
      <c r="C249" s="21">
        <v>4604075024495</v>
      </c>
      <c r="D249" s="20" t="s">
        <v>360</v>
      </c>
      <c r="E249" s="11">
        <v>3.65</v>
      </c>
      <c r="F249" s="24"/>
      <c r="G249" s="24">
        <v>3.24</v>
      </c>
      <c r="H249" s="24"/>
      <c r="I249" s="24"/>
      <c r="J249" s="12"/>
    </row>
    <row r="250" spans="1:10" ht="15.9" customHeight="1" x14ac:dyDescent="0.3">
      <c r="A250" s="15">
        <v>616160</v>
      </c>
      <c r="B250" s="22" t="s">
        <v>11</v>
      </c>
      <c r="C250" s="21">
        <v>4604075024433</v>
      </c>
      <c r="D250" s="20" t="s">
        <v>145</v>
      </c>
      <c r="E250" s="11">
        <v>3.65</v>
      </c>
      <c r="F250" s="24"/>
      <c r="G250" s="24"/>
      <c r="H250" s="24"/>
      <c r="I250" s="24"/>
      <c r="J250" s="12"/>
    </row>
    <row r="251" spans="1:10" ht="15.9" customHeight="1" x14ac:dyDescent="0.3">
      <c r="A251" s="15">
        <v>732951</v>
      </c>
      <c r="B251" s="22" t="s">
        <v>12</v>
      </c>
      <c r="C251" s="21">
        <v>4810099034802</v>
      </c>
      <c r="D251" s="20" t="s">
        <v>361</v>
      </c>
      <c r="E251" s="11">
        <v>2.66</v>
      </c>
      <c r="F251" s="24">
        <v>2.65</v>
      </c>
      <c r="G251" s="24"/>
      <c r="H251" s="24">
        <v>2.66</v>
      </c>
      <c r="I251" s="24"/>
      <c r="J251" s="12"/>
    </row>
    <row r="252" spans="1:10" ht="15.9" customHeight="1" x14ac:dyDescent="0.3">
      <c r="A252" s="15">
        <v>147952</v>
      </c>
      <c r="B252" s="22" t="s">
        <v>12</v>
      </c>
      <c r="C252" s="21">
        <v>4810268018930</v>
      </c>
      <c r="D252" s="20" t="s">
        <v>362</v>
      </c>
      <c r="E252" s="11">
        <v>1.91</v>
      </c>
      <c r="F252" s="11">
        <v>1.91</v>
      </c>
      <c r="G252" s="24">
        <v>1.92</v>
      </c>
      <c r="H252" s="24">
        <v>1.92</v>
      </c>
      <c r="I252" s="24">
        <v>1.92</v>
      </c>
      <c r="J252" s="12"/>
    </row>
    <row r="253" spans="1:10" ht="15.75" customHeight="1" x14ac:dyDescent="0.3">
      <c r="A253" s="15">
        <v>636019</v>
      </c>
      <c r="B253" s="22" t="s">
        <v>12</v>
      </c>
      <c r="C253" s="21">
        <v>4811269005585</v>
      </c>
      <c r="D253" s="20" t="s">
        <v>233</v>
      </c>
      <c r="E253" s="11">
        <v>1.83</v>
      </c>
      <c r="F253" s="24">
        <v>1.82</v>
      </c>
      <c r="G253" s="24">
        <v>1.83</v>
      </c>
      <c r="H253" s="24"/>
      <c r="I253" s="24">
        <v>1.79</v>
      </c>
      <c r="J253" s="12"/>
    </row>
    <row r="254" spans="1:10" ht="15.9" customHeight="1" x14ac:dyDescent="0.3">
      <c r="A254" s="15"/>
      <c r="B254" s="22" t="s">
        <v>12</v>
      </c>
      <c r="C254" s="21">
        <v>4810223018623</v>
      </c>
      <c r="D254" s="20" t="s">
        <v>187</v>
      </c>
      <c r="E254" s="11">
        <v>1.88</v>
      </c>
      <c r="F254" s="24">
        <v>1.87</v>
      </c>
      <c r="G254" s="24">
        <v>1.88</v>
      </c>
      <c r="H254" s="24"/>
      <c r="I254" s="24"/>
      <c r="J254" s="12"/>
    </row>
    <row r="255" spans="1:10" ht="15.9" customHeight="1" x14ac:dyDescent="0.3">
      <c r="A255" s="15"/>
      <c r="B255" s="22" t="s">
        <v>12</v>
      </c>
      <c r="C255" s="21">
        <v>4810268044939</v>
      </c>
      <c r="D255" s="20" t="s">
        <v>232</v>
      </c>
      <c r="E255" s="11">
        <v>2.04</v>
      </c>
      <c r="F255" s="24" t="s">
        <v>416</v>
      </c>
      <c r="G255" s="24">
        <v>2.0299999999999998</v>
      </c>
      <c r="H255" s="11">
        <v>2.04</v>
      </c>
      <c r="I255" s="11">
        <v>2.04</v>
      </c>
      <c r="J255" s="12"/>
    </row>
    <row r="256" spans="1:10" ht="15.75" customHeight="1" x14ac:dyDescent="0.3">
      <c r="A256" s="18"/>
      <c r="B256" s="22" t="s">
        <v>12</v>
      </c>
      <c r="C256" s="21">
        <v>4810223021456</v>
      </c>
      <c r="D256" s="20" t="s">
        <v>231</v>
      </c>
      <c r="E256" s="11">
        <v>1.68</v>
      </c>
      <c r="F256" s="24">
        <v>1.67</v>
      </c>
      <c r="G256" s="11">
        <v>1.68</v>
      </c>
      <c r="H256" s="11">
        <v>1.68</v>
      </c>
      <c r="I256" s="11">
        <v>1.68</v>
      </c>
      <c r="J256" s="12"/>
    </row>
    <row r="257" spans="1:10" ht="15.75" customHeight="1" x14ac:dyDescent="0.3">
      <c r="A257" s="18"/>
      <c r="B257" s="22" t="s">
        <v>12</v>
      </c>
      <c r="C257" s="21">
        <v>4810268039836</v>
      </c>
      <c r="D257" s="20" t="s">
        <v>234</v>
      </c>
      <c r="E257" s="11">
        <v>1.2</v>
      </c>
      <c r="F257" s="24" t="s">
        <v>492</v>
      </c>
      <c r="G257" s="24"/>
      <c r="H257" s="24">
        <v>1.2</v>
      </c>
      <c r="I257" s="24" t="s">
        <v>153</v>
      </c>
      <c r="J257" s="12"/>
    </row>
    <row r="258" spans="1:10" ht="15.9" customHeight="1" x14ac:dyDescent="0.3">
      <c r="A258" s="15"/>
      <c r="B258" s="22" t="s">
        <v>12</v>
      </c>
      <c r="C258" s="21">
        <v>4600605029039</v>
      </c>
      <c r="D258" s="20" t="s">
        <v>363</v>
      </c>
      <c r="E258" s="11">
        <v>1.89</v>
      </c>
      <c r="F258" s="24">
        <v>1.8</v>
      </c>
      <c r="G258" s="24">
        <v>1.89</v>
      </c>
      <c r="H258" s="24">
        <v>1.85</v>
      </c>
      <c r="I258" s="24"/>
      <c r="J258" s="12"/>
    </row>
    <row r="259" spans="1:10" ht="15.9" customHeight="1" x14ac:dyDescent="0.3">
      <c r="A259" s="15">
        <v>540218</v>
      </c>
      <c r="B259" s="22" t="s">
        <v>12</v>
      </c>
      <c r="C259" s="21">
        <v>4600605029022</v>
      </c>
      <c r="D259" s="20" t="s">
        <v>364</v>
      </c>
      <c r="E259" s="11">
        <v>1.89</v>
      </c>
      <c r="F259" s="24">
        <v>1.8</v>
      </c>
      <c r="G259" s="24">
        <v>1.89</v>
      </c>
      <c r="H259" s="24">
        <v>1.85</v>
      </c>
      <c r="I259" s="24"/>
      <c r="J259" s="12"/>
    </row>
    <row r="260" spans="1:10" ht="15.9" customHeight="1" x14ac:dyDescent="0.3">
      <c r="A260" s="15">
        <v>14855</v>
      </c>
      <c r="B260" s="22" t="s">
        <v>12</v>
      </c>
      <c r="C260" s="21">
        <v>4600605026878</v>
      </c>
      <c r="D260" s="20" t="s">
        <v>365</v>
      </c>
      <c r="E260" s="11">
        <v>1.89</v>
      </c>
      <c r="F260" s="24">
        <v>1.8</v>
      </c>
      <c r="G260" s="24">
        <v>1.89</v>
      </c>
      <c r="H260" s="24">
        <v>1.85</v>
      </c>
      <c r="I260" s="24"/>
      <c r="J260" s="12"/>
    </row>
    <row r="261" spans="1:10" ht="15.75" customHeight="1" x14ac:dyDescent="0.3">
      <c r="A261" s="15">
        <v>603635</v>
      </c>
      <c r="B261" s="22" t="s">
        <v>12</v>
      </c>
      <c r="C261" s="21">
        <v>4600605026885</v>
      </c>
      <c r="D261" s="20" t="s">
        <v>366</v>
      </c>
      <c r="E261" s="11">
        <v>1.89</v>
      </c>
      <c r="F261" s="24">
        <v>1.8</v>
      </c>
      <c r="G261" s="24">
        <v>1.89</v>
      </c>
      <c r="H261" s="24">
        <v>1.85</v>
      </c>
      <c r="I261" s="24"/>
      <c r="J261" s="12"/>
    </row>
    <row r="262" spans="1:10" ht="15.9" customHeight="1" x14ac:dyDescent="0.3">
      <c r="A262" s="15">
        <v>651948</v>
      </c>
      <c r="B262" s="22" t="s">
        <v>12</v>
      </c>
      <c r="C262" s="21">
        <v>4810268049118</v>
      </c>
      <c r="D262" s="20" t="s">
        <v>452</v>
      </c>
      <c r="E262" s="11">
        <v>1.99</v>
      </c>
      <c r="F262" s="24">
        <v>1.95</v>
      </c>
      <c r="G262" s="24" t="s">
        <v>46</v>
      </c>
      <c r="H262" s="24">
        <v>1.96</v>
      </c>
      <c r="I262" s="24" t="s">
        <v>49</v>
      </c>
      <c r="J262" s="12"/>
    </row>
    <row r="263" spans="1:10" ht="15.9" customHeight="1" x14ac:dyDescent="0.3">
      <c r="A263" s="15">
        <v>659232</v>
      </c>
      <c r="B263" s="22" t="s">
        <v>12</v>
      </c>
      <c r="C263" s="21">
        <v>4810268049101</v>
      </c>
      <c r="D263" s="20" t="s">
        <v>453</v>
      </c>
      <c r="E263" s="11">
        <v>1.99</v>
      </c>
      <c r="F263" s="24">
        <v>1.95</v>
      </c>
      <c r="G263" s="24" t="s">
        <v>46</v>
      </c>
      <c r="H263" s="24">
        <v>1.96</v>
      </c>
      <c r="I263" s="24">
        <v>1.98</v>
      </c>
      <c r="J263" s="12"/>
    </row>
    <row r="264" spans="1:10" ht="15.9" customHeight="1" x14ac:dyDescent="0.3">
      <c r="A264" s="15">
        <v>733278</v>
      </c>
      <c r="B264" s="22" t="s">
        <v>10</v>
      </c>
      <c r="C264" s="21">
        <v>17389</v>
      </c>
      <c r="D264" s="20" t="s">
        <v>376</v>
      </c>
      <c r="E264" s="11">
        <v>25.23</v>
      </c>
      <c r="F264" s="24"/>
      <c r="G264" s="24"/>
      <c r="H264" s="24"/>
      <c r="I264" s="24"/>
      <c r="J264" s="12"/>
    </row>
    <row r="265" spans="1:10" ht="15.75" customHeight="1" x14ac:dyDescent="0.3">
      <c r="A265" s="15">
        <v>460402</v>
      </c>
      <c r="B265" s="22" t="s">
        <v>10</v>
      </c>
      <c r="C265" s="21">
        <v>13306</v>
      </c>
      <c r="D265" s="20" t="s">
        <v>377</v>
      </c>
      <c r="E265" s="11">
        <v>24.22</v>
      </c>
      <c r="F265" s="24"/>
      <c r="G265" s="24"/>
      <c r="H265" s="24"/>
      <c r="I265" s="24"/>
      <c r="J265" s="12"/>
    </row>
    <row r="266" spans="1:10" ht="15.9" customHeight="1" x14ac:dyDescent="0.3">
      <c r="A266" s="15">
        <v>733263</v>
      </c>
      <c r="B266" s="22" t="s">
        <v>10</v>
      </c>
      <c r="C266" s="21">
        <v>16540</v>
      </c>
      <c r="D266" s="20" t="s">
        <v>437</v>
      </c>
      <c r="E266" s="11">
        <v>8.35</v>
      </c>
      <c r="F266" s="24"/>
      <c r="G266" s="24"/>
      <c r="H266" s="24"/>
      <c r="I266" s="24"/>
      <c r="J266" s="12"/>
    </row>
    <row r="267" spans="1:10" ht="15.9" customHeight="1" x14ac:dyDescent="0.3">
      <c r="A267" s="15">
        <v>303459</v>
      </c>
      <c r="B267" s="22" t="s">
        <v>10</v>
      </c>
      <c r="C267" s="21">
        <v>19354</v>
      </c>
      <c r="D267" s="20" t="s">
        <v>438</v>
      </c>
      <c r="E267" s="11">
        <v>9.86</v>
      </c>
      <c r="F267" s="24"/>
      <c r="G267" s="24"/>
      <c r="H267" s="24"/>
      <c r="I267" s="24"/>
      <c r="J267" s="12"/>
    </row>
    <row r="268" spans="1:10" ht="15.9" customHeight="1" x14ac:dyDescent="0.3">
      <c r="A268" s="15">
        <v>39612</v>
      </c>
      <c r="B268" s="22" t="s">
        <v>10</v>
      </c>
      <c r="C268" s="21">
        <v>18496</v>
      </c>
      <c r="D268" s="20" t="s">
        <v>183</v>
      </c>
      <c r="E268" s="11" t="s">
        <v>493</v>
      </c>
      <c r="F268" s="24"/>
      <c r="G268" s="24"/>
      <c r="H268" s="24"/>
      <c r="I268" s="24">
        <v>10.49</v>
      </c>
      <c r="J268" s="12"/>
    </row>
    <row r="269" spans="1:10" ht="15.9" customHeight="1" x14ac:dyDescent="0.3">
      <c r="A269" s="15">
        <v>703433</v>
      </c>
      <c r="B269" s="22" t="s">
        <v>10</v>
      </c>
      <c r="C269" s="21">
        <v>19535</v>
      </c>
      <c r="D269" s="20" t="s">
        <v>378</v>
      </c>
      <c r="E269" s="11">
        <v>10.7</v>
      </c>
      <c r="F269" s="24"/>
      <c r="G269" s="24"/>
      <c r="H269" s="24"/>
      <c r="I269" s="24"/>
      <c r="J269" s="12"/>
    </row>
    <row r="270" spans="1:10" ht="15.9" customHeight="1" x14ac:dyDescent="0.3">
      <c r="A270" s="15">
        <v>732938</v>
      </c>
      <c r="B270" s="22" t="s">
        <v>10</v>
      </c>
      <c r="C270" s="21">
        <v>17079</v>
      </c>
      <c r="D270" s="20" t="s">
        <v>379</v>
      </c>
      <c r="E270" s="11">
        <v>10.130000000000001</v>
      </c>
      <c r="F270" s="24">
        <v>10.119999999999999</v>
      </c>
      <c r="G270" s="24">
        <v>10.09</v>
      </c>
      <c r="H270" s="24">
        <v>10.130000000000001</v>
      </c>
      <c r="I270" s="24"/>
      <c r="J270" s="12"/>
    </row>
    <row r="271" spans="1:10" ht="15.9" customHeight="1" x14ac:dyDescent="0.3">
      <c r="A271" s="15"/>
      <c r="B271" s="22" t="s">
        <v>10</v>
      </c>
      <c r="C271" s="21">
        <v>4811518014085</v>
      </c>
      <c r="D271" s="20" t="s">
        <v>479</v>
      </c>
      <c r="E271" s="11">
        <v>3.35</v>
      </c>
      <c r="F271" s="24">
        <v>3.06</v>
      </c>
      <c r="G271" s="24">
        <v>3.35</v>
      </c>
      <c r="H271" s="24">
        <v>3.35</v>
      </c>
      <c r="I271" s="24">
        <v>3.35</v>
      </c>
      <c r="J271" s="12"/>
    </row>
    <row r="272" spans="1:10" ht="15.9" customHeight="1" x14ac:dyDescent="0.3">
      <c r="A272" s="15"/>
      <c r="B272" s="22" t="s">
        <v>10</v>
      </c>
      <c r="C272" s="21">
        <v>4811518024121</v>
      </c>
      <c r="D272" s="20" t="s">
        <v>478</v>
      </c>
      <c r="E272" s="11">
        <v>7.15</v>
      </c>
      <c r="F272" s="24">
        <v>6.5</v>
      </c>
      <c r="G272" s="11">
        <v>7.15</v>
      </c>
      <c r="H272" s="11">
        <v>7.15</v>
      </c>
      <c r="I272" s="11">
        <v>7.15</v>
      </c>
      <c r="J272" s="12"/>
    </row>
    <row r="273" spans="1:10" ht="15.9" customHeight="1" x14ac:dyDescent="0.3">
      <c r="A273" s="15"/>
      <c r="B273" s="22" t="s">
        <v>10</v>
      </c>
      <c r="C273" s="21">
        <v>16738</v>
      </c>
      <c r="D273" s="20" t="s">
        <v>380</v>
      </c>
      <c r="E273" s="11">
        <v>10.09</v>
      </c>
      <c r="F273" s="11" t="s">
        <v>470</v>
      </c>
      <c r="G273" s="24">
        <v>10.09</v>
      </c>
      <c r="H273" s="24">
        <v>10.09</v>
      </c>
      <c r="I273" s="24">
        <v>10.92</v>
      </c>
      <c r="J273" s="12"/>
    </row>
    <row r="274" spans="1:10" ht="15.9" customHeight="1" x14ac:dyDescent="0.3">
      <c r="A274" s="15">
        <v>99999</v>
      </c>
      <c r="B274" s="22" t="s">
        <v>10</v>
      </c>
      <c r="C274" s="21">
        <v>4810176101380</v>
      </c>
      <c r="D274" s="20" t="s">
        <v>381</v>
      </c>
      <c r="E274" s="11">
        <v>5.0199999999999996</v>
      </c>
      <c r="F274" s="24">
        <v>5.91</v>
      </c>
      <c r="G274" s="24" t="s">
        <v>482</v>
      </c>
      <c r="H274" s="24">
        <v>5.91</v>
      </c>
      <c r="I274" s="24"/>
      <c r="J274" s="12"/>
    </row>
    <row r="275" spans="1:10" ht="15.9" customHeight="1" x14ac:dyDescent="0.3">
      <c r="A275" s="15">
        <v>22051</v>
      </c>
      <c r="B275" s="22" t="s">
        <v>10</v>
      </c>
      <c r="C275" s="21">
        <v>16222</v>
      </c>
      <c r="D275" s="20" t="s">
        <v>146</v>
      </c>
      <c r="E275" s="11">
        <v>11.19</v>
      </c>
      <c r="F275" s="24"/>
      <c r="G275" s="24"/>
      <c r="H275" s="24"/>
      <c r="I275" s="24">
        <v>11.19</v>
      </c>
      <c r="J275" s="12"/>
    </row>
    <row r="276" spans="1:10" ht="15.9" customHeight="1" x14ac:dyDescent="0.3">
      <c r="A276" s="15">
        <v>732976</v>
      </c>
      <c r="B276" s="22" t="s">
        <v>10</v>
      </c>
      <c r="C276" s="21">
        <v>12663</v>
      </c>
      <c r="D276" s="20" t="s">
        <v>382</v>
      </c>
      <c r="E276" s="11">
        <v>8.4</v>
      </c>
      <c r="F276" s="24"/>
      <c r="G276" s="24"/>
      <c r="H276" s="24"/>
      <c r="I276" s="24"/>
      <c r="J276" s="12"/>
    </row>
    <row r="277" spans="1:10" ht="15.9" customHeight="1" x14ac:dyDescent="0.3">
      <c r="A277" s="15"/>
      <c r="B277" s="22" t="s">
        <v>10</v>
      </c>
      <c r="C277" s="21">
        <v>16239</v>
      </c>
      <c r="D277" s="20" t="s">
        <v>196</v>
      </c>
      <c r="E277" s="11">
        <v>11.4</v>
      </c>
      <c r="F277" s="24"/>
      <c r="G277" s="24">
        <v>9.1199999999999992</v>
      </c>
      <c r="H277" s="24">
        <v>11.28</v>
      </c>
      <c r="I277" s="24"/>
      <c r="J277" s="12"/>
    </row>
    <row r="278" spans="1:10" ht="15.9" customHeight="1" x14ac:dyDescent="0.3">
      <c r="A278" s="15">
        <v>640714</v>
      </c>
      <c r="B278" s="22" t="s">
        <v>10</v>
      </c>
      <c r="C278" s="21">
        <v>4813186011427</v>
      </c>
      <c r="D278" s="20" t="s">
        <v>480</v>
      </c>
      <c r="E278" s="11">
        <v>6.75</v>
      </c>
      <c r="F278" s="24"/>
      <c r="G278" s="24"/>
      <c r="H278" s="24"/>
      <c r="I278" s="24"/>
      <c r="J278" s="12"/>
    </row>
    <row r="279" spans="1:10" ht="15.9" customHeight="1" x14ac:dyDescent="0.3">
      <c r="A279" s="15"/>
      <c r="B279" s="22" t="s">
        <v>10</v>
      </c>
      <c r="C279" s="21">
        <v>4810176099007</v>
      </c>
      <c r="D279" s="20" t="s">
        <v>383</v>
      </c>
      <c r="E279" s="11" t="s">
        <v>409</v>
      </c>
      <c r="F279" s="24">
        <v>5.92</v>
      </c>
      <c r="G279" s="24"/>
      <c r="H279" s="24"/>
      <c r="I279" s="24">
        <v>5.92</v>
      </c>
      <c r="J279" s="12"/>
    </row>
    <row r="280" spans="1:10" ht="15.9" customHeight="1" x14ac:dyDescent="0.3">
      <c r="A280" s="15"/>
      <c r="B280" s="22" t="s">
        <v>10</v>
      </c>
      <c r="C280" s="21">
        <v>4811070059692</v>
      </c>
      <c r="D280" s="20" t="s">
        <v>384</v>
      </c>
      <c r="E280" s="11">
        <v>6.23</v>
      </c>
      <c r="F280" s="24"/>
      <c r="G280" s="24"/>
      <c r="H280" s="24"/>
      <c r="I280" s="24"/>
      <c r="J280" s="12"/>
    </row>
    <row r="281" spans="1:10" ht="15.9" customHeight="1" x14ac:dyDescent="0.3">
      <c r="A281" s="15">
        <v>12222</v>
      </c>
      <c r="B281" s="22" t="s">
        <v>10</v>
      </c>
      <c r="C281" s="21">
        <v>16434</v>
      </c>
      <c r="D281" s="20" t="s">
        <v>385</v>
      </c>
      <c r="E281" s="11">
        <v>8.75</v>
      </c>
      <c r="F281" s="24"/>
      <c r="G281" s="24">
        <v>8.56</v>
      </c>
      <c r="H281" s="24"/>
      <c r="I281" s="24">
        <v>8.75</v>
      </c>
      <c r="J281" s="12"/>
    </row>
    <row r="282" spans="1:10" ht="15.9" customHeight="1" x14ac:dyDescent="0.3">
      <c r="A282" s="15"/>
      <c r="B282" s="22" t="s">
        <v>10</v>
      </c>
      <c r="C282" s="21">
        <v>15990</v>
      </c>
      <c r="D282" s="20" t="s">
        <v>197</v>
      </c>
      <c r="E282" s="11">
        <v>9.35</v>
      </c>
      <c r="F282" s="24" t="s">
        <v>471</v>
      </c>
      <c r="G282" s="24">
        <v>10.4</v>
      </c>
      <c r="H282" s="24">
        <v>10.87</v>
      </c>
      <c r="I282" s="24">
        <v>10.87</v>
      </c>
      <c r="J282" s="12"/>
    </row>
    <row r="283" spans="1:10" ht="15.9" customHeight="1" x14ac:dyDescent="0.3">
      <c r="A283" s="15">
        <v>580540</v>
      </c>
      <c r="B283" s="22" t="s">
        <v>10</v>
      </c>
      <c r="C283" s="21">
        <v>4811518024138</v>
      </c>
      <c r="D283" s="20" t="s">
        <v>439</v>
      </c>
      <c r="E283" s="11">
        <v>5.09</v>
      </c>
      <c r="F283" s="24">
        <v>4.63</v>
      </c>
      <c r="G283" s="24">
        <v>5.09</v>
      </c>
      <c r="H283" s="24"/>
      <c r="I283" s="24">
        <v>5.09</v>
      </c>
      <c r="J283" s="12"/>
    </row>
    <row r="284" spans="1:10" ht="15.9" customHeight="1" x14ac:dyDescent="0.3">
      <c r="A284" s="15"/>
      <c r="B284" s="22" t="s">
        <v>10</v>
      </c>
      <c r="C284" s="21">
        <v>17463</v>
      </c>
      <c r="D284" s="20" t="s">
        <v>367</v>
      </c>
      <c r="E284" s="11">
        <v>9.5299999999999994</v>
      </c>
      <c r="F284" s="24">
        <v>9.52</v>
      </c>
      <c r="G284" s="24">
        <v>9.5299999999999994</v>
      </c>
      <c r="H284" s="24">
        <v>9.5299999999999994</v>
      </c>
      <c r="I284" s="24">
        <v>9.5299999999999994</v>
      </c>
      <c r="J284" s="12"/>
    </row>
    <row r="285" spans="1:10" ht="15.9" customHeight="1" x14ac:dyDescent="0.3">
      <c r="A285" s="15">
        <v>733110</v>
      </c>
      <c r="B285" s="22" t="s">
        <v>10</v>
      </c>
      <c r="C285" s="21">
        <v>19536</v>
      </c>
      <c r="D285" s="20" t="s">
        <v>386</v>
      </c>
      <c r="E285" s="11" t="s">
        <v>466</v>
      </c>
      <c r="F285" s="24"/>
      <c r="G285" s="24"/>
      <c r="H285" s="24"/>
      <c r="I285" s="24">
        <v>9.43</v>
      </c>
      <c r="J285" s="12"/>
    </row>
    <row r="286" spans="1:10" ht="15.9" customHeight="1" x14ac:dyDescent="0.3">
      <c r="A286" s="15">
        <v>566874</v>
      </c>
      <c r="B286" s="22" t="s">
        <v>10</v>
      </c>
      <c r="C286" s="21">
        <v>4811040122807</v>
      </c>
      <c r="D286" s="20" t="s">
        <v>387</v>
      </c>
      <c r="E286" s="11">
        <v>6.37</v>
      </c>
      <c r="F286" s="24">
        <v>6.34</v>
      </c>
      <c r="G286" s="11">
        <v>6.37</v>
      </c>
      <c r="H286" s="11">
        <v>6.37</v>
      </c>
      <c r="I286" s="11">
        <v>6.37</v>
      </c>
      <c r="J286" s="12"/>
    </row>
    <row r="287" spans="1:10" ht="15.9" customHeight="1" x14ac:dyDescent="0.3">
      <c r="A287" s="15">
        <v>733123</v>
      </c>
      <c r="B287" s="22" t="s">
        <v>10</v>
      </c>
      <c r="C287" s="21">
        <v>4811070059708</v>
      </c>
      <c r="D287" s="20" t="s">
        <v>388</v>
      </c>
      <c r="E287" s="11">
        <v>6.27</v>
      </c>
      <c r="F287" s="24"/>
      <c r="G287" s="24"/>
      <c r="H287" s="24"/>
      <c r="I287" s="24"/>
      <c r="J287" s="12"/>
    </row>
    <row r="288" spans="1:10" ht="15.9" customHeight="1" x14ac:dyDescent="0.3">
      <c r="A288" s="15">
        <v>550401</v>
      </c>
      <c r="B288" s="22" t="s">
        <v>10</v>
      </c>
      <c r="C288" s="21">
        <v>4811319011207</v>
      </c>
      <c r="D288" s="20" t="s">
        <v>440</v>
      </c>
      <c r="E288" s="11">
        <v>5.04</v>
      </c>
      <c r="F288" s="24"/>
      <c r="G288" s="24"/>
      <c r="H288" s="24"/>
      <c r="I288" s="24"/>
      <c r="J288" s="12"/>
    </row>
    <row r="289" spans="1:10" ht="15.75" customHeight="1" x14ac:dyDescent="0.3">
      <c r="A289" s="15">
        <v>624535</v>
      </c>
      <c r="B289" s="22" t="s">
        <v>10</v>
      </c>
      <c r="C289" s="21">
        <v>19353</v>
      </c>
      <c r="D289" s="20" t="s">
        <v>441</v>
      </c>
      <c r="E289" s="11">
        <v>9.34</v>
      </c>
      <c r="F289" s="24"/>
      <c r="G289" s="24"/>
      <c r="H289" s="24"/>
      <c r="I289" s="24"/>
      <c r="J289" s="12"/>
    </row>
    <row r="290" spans="1:10" ht="15.75" customHeight="1" x14ac:dyDescent="0.3">
      <c r="A290" s="15">
        <v>733288</v>
      </c>
      <c r="B290" s="22" t="s">
        <v>10</v>
      </c>
      <c r="C290" s="21">
        <v>14221</v>
      </c>
      <c r="D290" s="20" t="s">
        <v>389</v>
      </c>
      <c r="E290" s="11">
        <v>9.7899999999999991</v>
      </c>
      <c r="F290" s="24" t="s">
        <v>160</v>
      </c>
      <c r="G290" s="24">
        <v>9.7100000000000009</v>
      </c>
      <c r="H290" s="24">
        <v>9.7100000000000009</v>
      </c>
      <c r="I290" s="24">
        <v>9.7100000000000009</v>
      </c>
      <c r="J290" s="12"/>
    </row>
    <row r="291" spans="1:10" ht="15.9" customHeight="1" x14ac:dyDescent="0.3">
      <c r="A291" s="15">
        <v>578051</v>
      </c>
      <c r="B291" s="22" t="s">
        <v>10</v>
      </c>
      <c r="C291" s="21">
        <v>4810176098994</v>
      </c>
      <c r="D291" s="20" t="s">
        <v>390</v>
      </c>
      <c r="E291" s="11">
        <v>5.62</v>
      </c>
      <c r="F291" s="24">
        <v>5.59</v>
      </c>
      <c r="G291" s="24"/>
      <c r="H291" s="24"/>
      <c r="I291" s="24">
        <v>5.62</v>
      </c>
      <c r="J291" s="12"/>
    </row>
    <row r="292" spans="1:10" ht="15.9" customHeight="1" x14ac:dyDescent="0.3">
      <c r="A292" s="15">
        <v>733245</v>
      </c>
      <c r="B292" s="22" t="s">
        <v>10</v>
      </c>
      <c r="C292" s="21">
        <v>4811319009310</v>
      </c>
      <c r="D292" s="20" t="s">
        <v>442</v>
      </c>
      <c r="E292" s="11">
        <v>2.34</v>
      </c>
      <c r="F292" s="24"/>
      <c r="G292" s="24"/>
      <c r="H292" s="24"/>
      <c r="I292" s="24"/>
      <c r="J292" s="12"/>
    </row>
    <row r="293" spans="1:10" ht="15.9" customHeight="1" x14ac:dyDescent="0.3">
      <c r="A293" s="15">
        <v>577560</v>
      </c>
      <c r="B293" s="22" t="s">
        <v>10</v>
      </c>
      <c r="C293" s="21">
        <v>16231</v>
      </c>
      <c r="D293" s="20" t="s">
        <v>195</v>
      </c>
      <c r="E293" s="11" t="s">
        <v>160</v>
      </c>
      <c r="F293" s="24">
        <v>9.68</v>
      </c>
      <c r="G293" s="24" t="s">
        <v>472</v>
      </c>
      <c r="H293" s="24">
        <v>11.16</v>
      </c>
      <c r="I293" s="24">
        <v>11.16</v>
      </c>
      <c r="J293" s="12"/>
    </row>
    <row r="294" spans="1:10" ht="15.75" customHeight="1" x14ac:dyDescent="0.3">
      <c r="A294" s="15"/>
      <c r="B294" s="22" t="s">
        <v>10</v>
      </c>
      <c r="C294" s="21">
        <v>13730</v>
      </c>
      <c r="D294" s="20" t="s">
        <v>391</v>
      </c>
      <c r="E294" s="11">
        <v>8.5</v>
      </c>
      <c r="F294" s="24"/>
      <c r="G294" s="24"/>
      <c r="H294" s="24">
        <v>8.5</v>
      </c>
      <c r="I294" s="24"/>
      <c r="J294" s="12"/>
    </row>
    <row r="295" spans="1:10" ht="15.9" customHeight="1" x14ac:dyDescent="0.3">
      <c r="A295" s="15">
        <v>672834</v>
      </c>
      <c r="B295" s="22" t="s">
        <v>10</v>
      </c>
      <c r="C295" s="21">
        <v>19861</v>
      </c>
      <c r="D295" s="20" t="s">
        <v>392</v>
      </c>
      <c r="E295" s="11">
        <v>10.32</v>
      </c>
      <c r="F295" s="24"/>
      <c r="G295" s="24"/>
      <c r="H295" s="24"/>
      <c r="I295" s="24"/>
      <c r="J295" s="12"/>
    </row>
    <row r="296" spans="1:10" ht="15.9" customHeight="1" x14ac:dyDescent="0.3">
      <c r="A296" s="15"/>
      <c r="B296" s="22" t="s">
        <v>10</v>
      </c>
      <c r="C296" s="21">
        <v>16185</v>
      </c>
      <c r="D296" s="20" t="s">
        <v>393</v>
      </c>
      <c r="E296" s="11">
        <v>9.5</v>
      </c>
      <c r="F296" s="24"/>
      <c r="G296" s="24"/>
      <c r="H296" s="24"/>
      <c r="I296" s="24">
        <v>11.18</v>
      </c>
      <c r="J296" s="12"/>
    </row>
    <row r="297" spans="1:10" ht="15.9" customHeight="1" x14ac:dyDescent="0.3">
      <c r="A297" s="15"/>
      <c r="B297" s="22" t="s">
        <v>10</v>
      </c>
      <c r="C297" s="21">
        <v>16853</v>
      </c>
      <c r="D297" s="20" t="s">
        <v>394</v>
      </c>
      <c r="E297" s="11">
        <v>11.25</v>
      </c>
      <c r="F297" s="24"/>
      <c r="G297" s="24"/>
      <c r="H297" s="24"/>
      <c r="I297" s="24"/>
      <c r="J297" s="12"/>
    </row>
    <row r="298" spans="1:10" ht="15.9" customHeight="1" x14ac:dyDescent="0.3">
      <c r="A298" s="15"/>
      <c r="B298" s="22" t="s">
        <v>10</v>
      </c>
      <c r="C298" s="21">
        <v>19063</v>
      </c>
      <c r="D298" s="20" t="s">
        <v>395</v>
      </c>
      <c r="E298" s="11">
        <v>7.85</v>
      </c>
      <c r="F298" s="24">
        <v>7.85</v>
      </c>
      <c r="G298" s="24"/>
      <c r="H298" s="24"/>
      <c r="I298" s="24">
        <v>7.85</v>
      </c>
      <c r="J298" s="12"/>
    </row>
    <row r="299" spans="1:10" ht="15.9" customHeight="1" x14ac:dyDescent="0.3">
      <c r="A299" s="15">
        <v>577513</v>
      </c>
      <c r="B299" s="22" t="s">
        <v>10</v>
      </c>
      <c r="C299" s="21">
        <v>4813186009479</v>
      </c>
      <c r="D299" s="20" t="s">
        <v>396</v>
      </c>
      <c r="E299" s="11">
        <v>5.34</v>
      </c>
      <c r="F299" s="24"/>
      <c r="G299" s="11">
        <v>5.34</v>
      </c>
      <c r="H299" s="11"/>
      <c r="I299" s="11">
        <v>5.34</v>
      </c>
      <c r="J299" s="12"/>
    </row>
    <row r="300" spans="1:10" ht="15.9" customHeight="1" x14ac:dyDescent="0.3">
      <c r="A300" s="15">
        <v>733283</v>
      </c>
      <c r="B300" s="22" t="s">
        <v>10</v>
      </c>
      <c r="C300" s="21">
        <v>19631</v>
      </c>
      <c r="D300" s="20" t="s">
        <v>443</v>
      </c>
      <c r="E300" s="11">
        <v>7.2</v>
      </c>
      <c r="F300" s="24"/>
      <c r="G300" s="24"/>
      <c r="H300" s="24"/>
      <c r="I300" s="24"/>
      <c r="J300" s="12"/>
    </row>
    <row r="301" spans="1:10" ht="15.9" customHeight="1" x14ac:dyDescent="0.3">
      <c r="A301" s="15"/>
      <c r="B301" s="22" t="s">
        <v>10</v>
      </c>
      <c r="C301" s="21">
        <v>16817</v>
      </c>
      <c r="D301" s="20" t="s">
        <v>397</v>
      </c>
      <c r="E301" s="11">
        <v>5.38</v>
      </c>
      <c r="F301" s="24"/>
      <c r="G301" s="24"/>
      <c r="H301" s="24"/>
      <c r="I301" s="24"/>
      <c r="J301" s="12"/>
    </row>
    <row r="302" spans="1:10" ht="15.75" customHeight="1" x14ac:dyDescent="0.3">
      <c r="A302" s="15"/>
      <c r="B302" s="22" t="s">
        <v>10</v>
      </c>
      <c r="C302" s="21">
        <v>18093</v>
      </c>
      <c r="D302" s="20" t="s">
        <v>398</v>
      </c>
      <c r="E302" s="11">
        <v>15.29</v>
      </c>
      <c r="F302" s="24"/>
      <c r="G302" s="24"/>
      <c r="H302" s="24"/>
      <c r="I302" s="24"/>
      <c r="J302" s="12"/>
    </row>
    <row r="303" spans="1:10" ht="15.9" customHeight="1" x14ac:dyDescent="0.3">
      <c r="A303" s="15"/>
      <c r="B303" s="22" t="s">
        <v>10</v>
      </c>
      <c r="C303" s="21">
        <v>17207</v>
      </c>
      <c r="D303" s="20" t="s">
        <v>399</v>
      </c>
      <c r="E303" s="11">
        <v>30.49</v>
      </c>
      <c r="F303" s="24"/>
      <c r="G303" s="24"/>
      <c r="H303" s="24"/>
      <c r="I303" s="24"/>
      <c r="J303" s="12"/>
    </row>
    <row r="304" spans="1:10" ht="15.75" customHeight="1" x14ac:dyDescent="0.3">
      <c r="A304" s="15"/>
      <c r="B304" s="22" t="s">
        <v>10</v>
      </c>
      <c r="C304" s="21">
        <v>19131</v>
      </c>
      <c r="D304" s="20" t="s">
        <v>444</v>
      </c>
      <c r="E304" s="11">
        <v>27.06</v>
      </c>
      <c r="F304" s="24"/>
      <c r="G304" s="24"/>
      <c r="H304" s="24">
        <v>27.06</v>
      </c>
      <c r="I304" s="24"/>
      <c r="J304" s="12"/>
    </row>
    <row r="305" spans="1:10" ht="15.9" customHeight="1" x14ac:dyDescent="0.3">
      <c r="A305" s="15"/>
      <c r="B305" s="22" t="s">
        <v>10</v>
      </c>
      <c r="C305" s="21">
        <v>16132</v>
      </c>
      <c r="D305" s="20" t="s">
        <v>473</v>
      </c>
      <c r="E305" s="11">
        <v>17.05</v>
      </c>
      <c r="F305" s="24"/>
      <c r="G305" s="24"/>
      <c r="H305" s="24"/>
      <c r="I305" s="24"/>
      <c r="J305" s="12"/>
    </row>
    <row r="306" spans="1:10" ht="15.75" customHeight="1" x14ac:dyDescent="0.3">
      <c r="A306" s="15">
        <v>706109</v>
      </c>
      <c r="B306" s="22" t="s">
        <v>10</v>
      </c>
      <c r="C306" s="21">
        <v>4811040133124</v>
      </c>
      <c r="D306" s="20" t="s">
        <v>445</v>
      </c>
      <c r="E306" s="11">
        <v>5.49</v>
      </c>
      <c r="F306" s="33">
        <v>5.86</v>
      </c>
      <c r="G306" s="24"/>
      <c r="H306" s="24"/>
      <c r="I306" s="24"/>
      <c r="J306" s="12"/>
    </row>
    <row r="307" spans="1:10" ht="15.9" customHeight="1" x14ac:dyDescent="0.3">
      <c r="A307" s="15">
        <v>575301</v>
      </c>
      <c r="B307" s="22" t="s">
        <v>10</v>
      </c>
      <c r="C307" s="21">
        <v>17392</v>
      </c>
      <c r="D307" s="20" t="s">
        <v>446</v>
      </c>
      <c r="E307" s="11" t="s">
        <v>150</v>
      </c>
      <c r="F307" s="24"/>
      <c r="G307" s="24"/>
      <c r="H307" s="24"/>
      <c r="I307" s="24"/>
      <c r="J307" s="12"/>
    </row>
    <row r="308" spans="1:10" ht="15.9" customHeight="1" x14ac:dyDescent="0.3">
      <c r="A308" s="15"/>
      <c r="B308" s="22" t="s">
        <v>10</v>
      </c>
      <c r="C308" s="21">
        <v>18556</v>
      </c>
      <c r="D308" s="20" t="s">
        <v>400</v>
      </c>
      <c r="E308" s="11">
        <v>4.76</v>
      </c>
      <c r="F308" s="24"/>
      <c r="G308" s="24"/>
      <c r="H308" s="24"/>
      <c r="I308" s="24"/>
      <c r="J308" s="12"/>
    </row>
    <row r="309" spans="1:10" ht="15.9" customHeight="1" x14ac:dyDescent="0.3">
      <c r="A309" s="15"/>
      <c r="B309" s="22" t="s">
        <v>10</v>
      </c>
      <c r="C309" s="21">
        <v>13587</v>
      </c>
      <c r="D309" s="20" t="s">
        <v>401</v>
      </c>
      <c r="E309" s="11">
        <v>29.99</v>
      </c>
      <c r="F309" s="24"/>
      <c r="G309" s="24"/>
      <c r="H309" s="24"/>
      <c r="I309" s="24"/>
      <c r="J309" s="12"/>
    </row>
    <row r="310" spans="1:10" ht="15.9" customHeight="1" x14ac:dyDescent="0.3">
      <c r="A310" s="15"/>
      <c r="B310" s="22" t="s">
        <v>10</v>
      </c>
      <c r="C310" s="21">
        <v>19029</v>
      </c>
      <c r="D310" s="20" t="s">
        <v>402</v>
      </c>
      <c r="E310" s="11">
        <v>23.12</v>
      </c>
      <c r="F310" s="24"/>
      <c r="G310" s="24"/>
      <c r="H310" s="24"/>
      <c r="I310" s="24"/>
      <c r="J310" s="12"/>
    </row>
    <row r="311" spans="1:10" ht="15.9" customHeight="1" x14ac:dyDescent="0.3">
      <c r="A311" s="15">
        <v>733146</v>
      </c>
      <c r="B311" s="22" t="s">
        <v>10</v>
      </c>
      <c r="C311" s="21">
        <v>19944</v>
      </c>
      <c r="D311" s="20" t="s">
        <v>403</v>
      </c>
      <c r="E311" s="11">
        <v>17.850000000000001</v>
      </c>
      <c r="F311" s="24"/>
      <c r="G311" s="24"/>
      <c r="H311" s="24"/>
      <c r="I311" s="24"/>
      <c r="J311" s="12"/>
    </row>
    <row r="312" spans="1:10" ht="15.9" customHeight="1" x14ac:dyDescent="0.3">
      <c r="A312" s="15">
        <v>571805</v>
      </c>
      <c r="B312" s="22" t="s">
        <v>10</v>
      </c>
      <c r="C312" s="21">
        <v>14502</v>
      </c>
      <c r="D312" s="20" t="s">
        <v>404</v>
      </c>
      <c r="E312" s="11">
        <v>13.14</v>
      </c>
      <c r="F312" s="24"/>
      <c r="G312" s="24"/>
      <c r="H312" s="24"/>
      <c r="I312" s="24"/>
      <c r="J312" s="12"/>
    </row>
    <row r="313" spans="1:10" ht="15.9" customHeight="1" x14ac:dyDescent="0.3">
      <c r="A313" s="15"/>
      <c r="B313" s="22" t="s">
        <v>10</v>
      </c>
      <c r="C313" s="21">
        <v>15604</v>
      </c>
      <c r="D313" s="20" t="s">
        <v>405</v>
      </c>
      <c r="E313" s="11">
        <v>24.23</v>
      </c>
      <c r="F313" s="24"/>
      <c r="G313" s="24"/>
      <c r="H313" s="24">
        <v>24.23</v>
      </c>
      <c r="I313" s="24"/>
      <c r="J313" s="12"/>
    </row>
    <row r="314" spans="1:10" ht="15.9" customHeight="1" x14ac:dyDescent="0.3">
      <c r="A314" s="15">
        <v>305053</v>
      </c>
      <c r="B314" s="22" t="s">
        <v>10</v>
      </c>
      <c r="C314" s="21">
        <v>16030</v>
      </c>
      <c r="D314" s="20" t="s">
        <v>406</v>
      </c>
      <c r="E314" s="11">
        <v>17.190000000000001</v>
      </c>
      <c r="F314" s="24"/>
      <c r="G314" s="24"/>
      <c r="H314" s="24"/>
      <c r="I314" s="24"/>
      <c r="J314" s="12"/>
    </row>
    <row r="315" spans="1:10" ht="15.9" customHeight="1" x14ac:dyDescent="0.3">
      <c r="A315" s="15"/>
      <c r="B315" s="22" t="s">
        <v>10</v>
      </c>
      <c r="C315" s="21">
        <v>16134</v>
      </c>
      <c r="D315" s="20" t="s">
        <v>407</v>
      </c>
      <c r="E315" s="11">
        <v>13.59</v>
      </c>
      <c r="F315" s="24"/>
      <c r="G315" s="24"/>
      <c r="H315" s="24"/>
      <c r="I315" s="24"/>
      <c r="J315" s="12"/>
    </row>
    <row r="316" spans="1:10" ht="15.9" customHeight="1" x14ac:dyDescent="0.3">
      <c r="A316" s="15"/>
      <c r="B316" s="22" t="s">
        <v>10</v>
      </c>
      <c r="C316" s="21">
        <v>16818</v>
      </c>
      <c r="D316" s="20" t="s">
        <v>408</v>
      </c>
      <c r="E316" s="11">
        <v>29.99</v>
      </c>
      <c r="F316" s="24"/>
      <c r="G316" s="24"/>
      <c r="H316" s="24"/>
      <c r="I316" s="24"/>
      <c r="J316" s="12"/>
    </row>
    <row r="317" spans="1:10" x14ac:dyDescent="0.3">
      <c r="C317" s="14"/>
      <c r="F317" s="19"/>
      <c r="G317" s="19"/>
      <c r="H317" s="19"/>
      <c r="I317" s="19"/>
    </row>
    <row r="318" spans="1:10" x14ac:dyDescent="0.3">
      <c r="F318" s="19"/>
      <c r="G318" s="19"/>
      <c r="H318" s="19"/>
      <c r="I318" s="19"/>
    </row>
    <row r="327" spans="1:11" s="16" customFormat="1" x14ac:dyDescent="0.3">
      <c r="A327" s="14"/>
      <c r="B327" s="14"/>
      <c r="D327" s="14"/>
      <c r="E327" s="13"/>
      <c r="F327" s="13"/>
      <c r="G327" s="13"/>
      <c r="H327" s="13"/>
      <c r="I327" s="13"/>
      <c r="J327" s="13"/>
      <c r="K327" s="14"/>
    </row>
    <row r="328" spans="1:11" s="16" customFormat="1" x14ac:dyDescent="0.3">
      <c r="A328" s="14"/>
      <c r="B328" s="14"/>
      <c r="D328" s="14"/>
      <c r="E328" s="13"/>
      <c r="F328" s="13"/>
      <c r="G328" s="13"/>
      <c r="H328" s="13"/>
      <c r="I328" s="13"/>
      <c r="J328" s="13"/>
      <c r="K328" s="14"/>
    </row>
    <row r="329" spans="1:11" s="16" customFormat="1" x14ac:dyDescent="0.3">
      <c r="A329" s="14"/>
      <c r="B329" s="14"/>
      <c r="D329" s="14"/>
      <c r="E329" s="13"/>
      <c r="F329" s="13"/>
      <c r="G329" s="13"/>
      <c r="H329" s="13"/>
      <c r="I329" s="13"/>
      <c r="J329" s="13"/>
      <c r="K329" s="14"/>
    </row>
    <row r="330" spans="1:11" s="16" customFormat="1" x14ac:dyDescent="0.3">
      <c r="A330" s="14"/>
      <c r="B330" s="14"/>
      <c r="D330" s="14"/>
      <c r="E330" s="13"/>
      <c r="F330" s="13"/>
      <c r="G330" s="13"/>
      <c r="H330" s="13"/>
      <c r="I330" s="13"/>
      <c r="J330" s="13"/>
      <c r="K330" s="14"/>
    </row>
    <row r="331" spans="1:11" s="16" customFormat="1" x14ac:dyDescent="0.3">
      <c r="A331" s="14"/>
      <c r="B331" s="14"/>
      <c r="D331" s="14"/>
      <c r="E331" s="13"/>
      <c r="F331" s="13"/>
      <c r="G331" s="13"/>
      <c r="H331" s="13"/>
      <c r="I331" s="13"/>
      <c r="J331" s="13"/>
      <c r="K331" s="14"/>
    </row>
    <row r="332" spans="1:11" s="16" customFormat="1" x14ac:dyDescent="0.3">
      <c r="A332" s="14"/>
      <c r="B332" s="14"/>
      <c r="D332" s="14"/>
      <c r="E332" s="13"/>
      <c r="F332" s="13"/>
      <c r="G332" s="13"/>
      <c r="H332" s="13"/>
      <c r="I332" s="13"/>
      <c r="J332" s="13"/>
      <c r="K332" s="14"/>
    </row>
    <row r="333" spans="1:11" s="16" customFormat="1" x14ac:dyDescent="0.3">
      <c r="A333" s="14"/>
      <c r="B333" s="14"/>
      <c r="D333" s="14"/>
      <c r="E333" s="13"/>
      <c r="F333" s="13"/>
      <c r="G333" s="13"/>
      <c r="H333" s="13"/>
      <c r="I333" s="13"/>
      <c r="J333" s="13"/>
      <c r="K333" s="14"/>
    </row>
    <row r="334" spans="1:11" s="16" customFormat="1" x14ac:dyDescent="0.3">
      <c r="A334" s="14"/>
      <c r="B334" s="14"/>
      <c r="D334" s="14"/>
      <c r="E334" s="13"/>
      <c r="F334" s="13"/>
      <c r="G334" s="13"/>
      <c r="H334" s="13"/>
      <c r="I334" s="13"/>
      <c r="J334" s="13"/>
      <c r="K334" s="14"/>
    </row>
    <row r="335" spans="1:11" s="16" customFormat="1" x14ac:dyDescent="0.3">
      <c r="A335" s="14"/>
      <c r="B335" s="14"/>
      <c r="D335" s="14"/>
      <c r="E335" s="13"/>
      <c r="F335" s="13"/>
      <c r="G335" s="13"/>
      <c r="H335" s="13"/>
      <c r="I335" s="13"/>
      <c r="J335" s="13"/>
      <c r="K335" s="14"/>
    </row>
    <row r="336" spans="1:11" s="16" customFormat="1" x14ac:dyDescent="0.3">
      <c r="A336" s="14"/>
      <c r="B336" s="14"/>
      <c r="D336" s="14"/>
      <c r="E336" s="13"/>
      <c r="F336" s="13"/>
      <c r="G336" s="13"/>
      <c r="H336" s="13"/>
      <c r="I336" s="13"/>
      <c r="J336" s="13"/>
      <c r="K336" s="14"/>
    </row>
    <row r="337" spans="1:11" s="16" customFormat="1" x14ac:dyDescent="0.3">
      <c r="A337" s="14"/>
      <c r="B337" s="14"/>
      <c r="D337" s="14"/>
      <c r="E337" s="13"/>
      <c r="F337" s="13"/>
      <c r="G337" s="13"/>
      <c r="H337" s="13"/>
      <c r="I337" s="13"/>
      <c r="J337" s="13"/>
      <c r="K337" s="14"/>
    </row>
    <row r="338" spans="1:11" s="16" customFormat="1" x14ac:dyDescent="0.3">
      <c r="A338" s="14"/>
      <c r="B338" s="14"/>
      <c r="D338" s="14"/>
      <c r="E338" s="13"/>
      <c r="F338" s="13"/>
      <c r="G338" s="13"/>
      <c r="H338" s="13"/>
      <c r="I338" s="13"/>
      <c r="J338" s="13"/>
      <c r="K338" s="14"/>
    </row>
  </sheetData>
  <autoFilter ref="A2:K316"/>
  <conditionalFormatting sqref="G271:G272 E2:E201 E216 E230:E297 E305:E312 F2:F26 F230:F273 F200:F201 E206:F209 G25:G26 G208:G209 G229 G200:G202 F43:G199 H43:H201 G206:H207 I43:I198 I208:I211 I229:I272 I304 I313 I213:I218 G230:H270 E213:H214 F307:I312 F274:I297 F28:I41 E220:I227 F305:I305 E314:I316 E300:I303 G2:G23 H2:I26">
    <cfRule type="beginsWith" dxfId="25" priority="880" operator="beginsWith" text="*">
      <formula>LEFT(E2,LEN("*"))="*"</formula>
    </cfRule>
  </conditionalFormatting>
  <conditionalFormatting sqref="D317:D1048576 D1">
    <cfRule type="duplicateValues" dxfId="24" priority="876"/>
    <cfRule type="duplicateValues" dxfId="23" priority="877"/>
  </conditionalFormatting>
  <conditionalFormatting sqref="D317:D1048576 D1">
    <cfRule type="duplicateValues" dxfId="22" priority="874"/>
  </conditionalFormatting>
  <conditionalFormatting sqref="C1">
    <cfRule type="duplicateValues" dxfId="21" priority="873"/>
  </conditionalFormatting>
  <conditionalFormatting sqref="C317">
    <cfRule type="duplicateValues" dxfId="20" priority="866"/>
    <cfRule type="duplicateValues" dxfId="19" priority="867"/>
  </conditionalFormatting>
  <conditionalFormatting sqref="C317">
    <cfRule type="duplicateValues" dxfId="18" priority="865"/>
  </conditionalFormatting>
  <conditionalFormatting sqref="I199">
    <cfRule type="beginsWith" dxfId="17" priority="819" operator="beginsWith" text="*">
      <formula>LEFT(I199,LEN("*"))="*"</formula>
    </cfRule>
  </conditionalFormatting>
  <conditionalFormatting sqref="I207">
    <cfRule type="beginsWith" dxfId="16" priority="729" operator="beginsWith" text="*">
      <formula>LEFT(I207,LEN("*"))="*"</formula>
    </cfRule>
  </conditionalFormatting>
  <conditionalFormatting sqref="H271">
    <cfRule type="beginsWith" dxfId="15" priority="365" operator="beginsWith" text="*">
      <formula>LEFT(H271,LEN("*"))="*"</formula>
    </cfRule>
  </conditionalFormatting>
  <conditionalFormatting sqref="H272">
    <cfRule type="beginsWith" dxfId="14" priority="362" operator="beginsWith" text="*">
      <formula>LEFT(H272,LEN("*"))="*"</formula>
    </cfRule>
  </conditionalFormatting>
  <conditionalFormatting sqref="I200">
    <cfRule type="beginsWith" dxfId="13" priority="269" operator="beginsWith" text="*">
      <formula>LEFT(I200,LEN("*"))="*"</formula>
    </cfRule>
  </conditionalFormatting>
  <conditionalFormatting sqref="I201">
    <cfRule type="beginsWith" dxfId="12" priority="266" operator="beginsWith" text="*">
      <formula>LEFT(I201,LEN("*"))="*"</formula>
    </cfRule>
  </conditionalFormatting>
  <conditionalFormatting sqref="G203:G204">
    <cfRule type="beginsWith" dxfId="11" priority="251" operator="beginsWith" text="*">
      <formula>LEFT(G203,LEN("*"))="*"</formula>
    </cfRule>
  </conditionalFormatting>
  <conditionalFormatting sqref="G206">
    <cfRule type="beginsWith" dxfId="10" priority="236" operator="beginsWith" text="*">
      <formula>LEFT(G206,LEN("*"))="*"</formula>
    </cfRule>
  </conditionalFormatting>
  <conditionalFormatting sqref="H206:H207">
    <cfRule type="beginsWith" dxfId="9" priority="235" operator="beginsWith" text="*">
      <formula>LEFT(H206,LEN("*"))="*"</formula>
    </cfRule>
  </conditionalFormatting>
  <conditionalFormatting sqref="I206">
    <cfRule type="beginsWith" dxfId="8" priority="234" operator="beginsWith" text="*">
      <formula>LEFT(I206,LEN("*"))="*"</formula>
    </cfRule>
  </conditionalFormatting>
  <conditionalFormatting sqref="F207">
    <cfRule type="beginsWith" dxfId="7" priority="231" operator="beginsWith" text="*">
      <formula>LEFT(F207,LEN("*"))="*"</formula>
    </cfRule>
  </conditionalFormatting>
  <conditionalFormatting sqref="G207">
    <cfRule type="beginsWith" dxfId="6" priority="230" operator="beginsWith" text="*">
      <formula>LEFT(G207,LEN("*"))="*"</formula>
    </cfRule>
  </conditionalFormatting>
  <conditionalFormatting sqref="H208:H209">
    <cfRule type="beginsWith" dxfId="5" priority="229" operator="beginsWith" text="*">
      <formula>LEFT(H208,LEN("*"))="*"</formula>
    </cfRule>
  </conditionalFormatting>
  <conditionalFormatting sqref="H216">
    <cfRule type="beginsWith" dxfId="4" priority="217" operator="beginsWith" text="*">
      <formula>LEFT(H216,LEN("*"))="*"</formula>
    </cfRule>
  </conditionalFormatting>
  <conditionalFormatting sqref="G228">
    <cfRule type="beginsWith" dxfId="3" priority="196" operator="beginsWith" text="*">
      <formula>LEFT(G228,LEN("*"))="*"</formula>
    </cfRule>
  </conditionalFormatting>
  <conditionalFormatting sqref="H228">
    <cfRule type="beginsWith" dxfId="2" priority="193" operator="beginsWith" text="*">
      <formula>LEFT(H228,LEN("*"))="*"</formula>
    </cfRule>
  </conditionalFormatting>
  <conditionalFormatting sqref="F2:F26 G25:G26 E206:H209 I229:I272 E230:F297 E2:E201 E216 G229:G272 I300:I305 E305:E312 I307:I316 I213:I218 F200:F201 H200:H201 H230:H272 I43:I201 G200:G204 I206:I211 H216 G228:H228 F307:H312 G274:I297 F28:I41 F43:H199 E220:I227 E213:H214 E300:H303 F305:H305 E314:H316 G2:G23 H2:I26">
    <cfRule type="cellIs" dxfId="1" priority="18274" operator="equal">
      <formula>#REF!</formula>
    </cfRule>
    <cfRule type="cellIs" dxfId="0" priority="18275" operator="equal">
      <formula>#REF!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W14"/>
  <sheetViews>
    <sheetView zoomScale="70" zoomScaleNormal="70" workbookViewId="0">
      <selection activeCell="U7" sqref="U7"/>
    </sheetView>
  </sheetViews>
  <sheetFormatPr defaultRowHeight="14.4" x14ac:dyDescent="0.3"/>
  <cols>
    <col min="2" max="2" width="32.44140625" bestFit="1" customWidth="1"/>
    <col min="11" max="11" width="13.88671875" customWidth="1"/>
  </cols>
  <sheetData>
    <row r="3" spans="2:23" x14ac:dyDescent="0.3">
      <c r="C3" t="s">
        <v>38</v>
      </c>
      <c r="D3" t="s">
        <v>75</v>
      </c>
      <c r="E3" t="s">
        <v>84</v>
      </c>
      <c r="F3" t="s">
        <v>38</v>
      </c>
      <c r="G3" t="s">
        <v>35</v>
      </c>
      <c r="H3" t="s">
        <v>85</v>
      </c>
      <c r="I3" s="1" t="s">
        <v>38</v>
      </c>
      <c r="J3" s="1" t="s">
        <v>34</v>
      </c>
      <c r="K3" s="1" t="s">
        <v>90</v>
      </c>
      <c r="M3" s="3" t="s">
        <v>38</v>
      </c>
      <c r="N3" s="3" t="s">
        <v>98</v>
      </c>
      <c r="O3" s="3" t="s">
        <v>99</v>
      </c>
      <c r="Q3" s="3" t="s">
        <v>38</v>
      </c>
      <c r="R3" s="3" t="s">
        <v>100</v>
      </c>
      <c r="S3" s="3" t="s">
        <v>101</v>
      </c>
      <c r="U3" t="s">
        <v>38</v>
      </c>
      <c r="V3" t="s">
        <v>138</v>
      </c>
      <c r="W3" t="s">
        <v>137</v>
      </c>
    </row>
    <row r="4" spans="2:23" x14ac:dyDescent="0.3">
      <c r="B4" t="s">
        <v>60</v>
      </c>
      <c r="C4">
        <v>808.72</v>
      </c>
      <c r="D4">
        <v>728.59</v>
      </c>
      <c r="E4" s="4">
        <f>(C4/D4)-1</f>
        <v>0.10997954954089395</v>
      </c>
      <c r="F4">
        <v>838.31</v>
      </c>
      <c r="G4">
        <v>831.84</v>
      </c>
      <c r="H4" s="4">
        <f>(F4/G4)-1</f>
        <v>7.7779380650124796E-3</v>
      </c>
      <c r="I4" s="1">
        <v>578.46</v>
      </c>
      <c r="J4" s="1">
        <v>581.29999999999995</v>
      </c>
      <c r="K4" s="7">
        <f>(I4/J4)-1</f>
        <v>-4.8856012386030434E-3</v>
      </c>
      <c r="M4" s="3">
        <v>909.24</v>
      </c>
      <c r="N4" s="3">
        <v>944.47</v>
      </c>
      <c r="O4" s="6">
        <f>(M4/N4)-1</f>
        <v>-3.7301343610702364E-2</v>
      </c>
      <c r="Q4">
        <v>869.6</v>
      </c>
      <c r="R4">
        <v>882.99</v>
      </c>
      <c r="S4" s="4">
        <f>(Q4/R4)-1</f>
        <v>-1.5164384647617712E-2</v>
      </c>
      <c r="U4">
        <v>1055.69</v>
      </c>
      <c r="V4">
        <v>1047.67</v>
      </c>
      <c r="W4" s="4">
        <f>(U4/V4)-1</f>
        <v>7.6550822300915922E-3</v>
      </c>
    </row>
    <row r="5" spans="2:23" x14ac:dyDescent="0.3">
      <c r="B5" t="s">
        <v>77</v>
      </c>
      <c r="C5">
        <v>206.08</v>
      </c>
      <c r="D5">
        <v>200.25</v>
      </c>
      <c r="E5" s="4">
        <f>(C5/D5)-1</f>
        <v>2.9113607990012502E-2</v>
      </c>
      <c r="F5">
        <v>183.48</v>
      </c>
      <c r="G5">
        <v>182.89</v>
      </c>
      <c r="H5" s="4">
        <f t="shared" ref="H5:H13" si="0">(F5/G5)-1</f>
        <v>3.2259828312100058E-3</v>
      </c>
      <c r="I5" s="1">
        <v>181.71</v>
      </c>
      <c r="J5" s="1">
        <v>184.73</v>
      </c>
      <c r="K5" s="7">
        <f t="shared" ref="K5:K14" si="1">(I5/J5)-1</f>
        <v>-1.6348183835868446E-2</v>
      </c>
      <c r="M5" s="3">
        <v>169.68</v>
      </c>
      <c r="N5" s="3">
        <v>164.17</v>
      </c>
      <c r="O5" s="6">
        <f t="shared" ref="O5:O14" si="2">(M5/N5)-1</f>
        <v>3.3562770299080391E-2</v>
      </c>
      <c r="Q5">
        <v>180.56</v>
      </c>
      <c r="R5">
        <v>173.49</v>
      </c>
      <c r="S5" s="4">
        <f t="shared" ref="S5:S13" si="3">(Q5/R5)-1</f>
        <v>4.0751628335927048E-2</v>
      </c>
      <c r="U5">
        <v>223.61</v>
      </c>
      <c r="V5">
        <v>218.67</v>
      </c>
      <c r="W5" s="4">
        <f>(U5/V5)-1</f>
        <v>2.2591119037819629E-2</v>
      </c>
    </row>
    <row r="6" spans="2:23" x14ac:dyDescent="0.3">
      <c r="B6" t="s">
        <v>8</v>
      </c>
      <c r="C6">
        <v>86.63</v>
      </c>
      <c r="D6">
        <v>80.709999999999994</v>
      </c>
      <c r="E6" s="4">
        <f>(C6/D6)-1</f>
        <v>7.334902738198501E-2</v>
      </c>
      <c r="F6">
        <v>81.34</v>
      </c>
      <c r="G6">
        <v>81.78</v>
      </c>
      <c r="H6" s="4">
        <f t="shared" si="0"/>
        <v>-5.380288579114656E-3</v>
      </c>
      <c r="I6" s="1">
        <v>50.42</v>
      </c>
      <c r="J6" s="1">
        <v>50.41</v>
      </c>
      <c r="K6" s="7">
        <f t="shared" si="1"/>
        <v>1.9837333862349205E-4</v>
      </c>
      <c r="M6" s="3">
        <v>48.42</v>
      </c>
      <c r="N6" s="3">
        <v>41.26</v>
      </c>
      <c r="O6" s="6">
        <f t="shared" si="2"/>
        <v>0.17353368880271458</v>
      </c>
      <c r="Q6">
        <v>88.78</v>
      </c>
      <c r="R6">
        <v>85.53</v>
      </c>
      <c r="S6" s="4">
        <f t="shared" si="3"/>
        <v>3.7998363147433656E-2</v>
      </c>
      <c r="U6">
        <v>100.48</v>
      </c>
      <c r="V6">
        <v>96.33</v>
      </c>
      <c r="W6" s="4">
        <f t="shared" ref="W6:W14" si="4">(U6/V6)-1</f>
        <v>4.3081075469739494E-2</v>
      </c>
    </row>
    <row r="7" spans="2:23" x14ac:dyDescent="0.3">
      <c r="B7" t="s">
        <v>78</v>
      </c>
      <c r="C7">
        <v>397.04</v>
      </c>
      <c r="D7">
        <v>396.26</v>
      </c>
      <c r="E7" s="4">
        <f t="shared" ref="E7:E14" si="5">(C7/D7)-1</f>
        <v>1.9684045828496366E-3</v>
      </c>
      <c r="F7">
        <v>201.68</v>
      </c>
      <c r="G7">
        <v>206.18</v>
      </c>
      <c r="H7" s="4">
        <f t="shared" si="0"/>
        <v>-2.182558929091083E-2</v>
      </c>
      <c r="I7" s="1">
        <v>139.68</v>
      </c>
      <c r="J7" s="1">
        <v>149.44</v>
      </c>
      <c r="K7" s="7">
        <f t="shared" si="1"/>
        <v>-6.5310492505353257E-2</v>
      </c>
      <c r="M7" s="3">
        <v>246.47</v>
      </c>
      <c r="N7" s="3">
        <v>242.68</v>
      </c>
      <c r="O7" s="6">
        <f t="shared" si="2"/>
        <v>1.5617273776166174E-2</v>
      </c>
      <c r="Q7">
        <v>227.67</v>
      </c>
      <c r="R7">
        <v>217.23</v>
      </c>
      <c r="S7" s="4">
        <f t="shared" si="3"/>
        <v>4.8059660267918858E-2</v>
      </c>
      <c r="U7">
        <v>351.97</v>
      </c>
      <c r="V7">
        <v>352.32</v>
      </c>
      <c r="W7" s="4">
        <f t="shared" si="4"/>
        <v>-9.9341507720240863E-4</v>
      </c>
    </row>
    <row r="8" spans="2:23" x14ac:dyDescent="0.3">
      <c r="B8" t="s">
        <v>79</v>
      </c>
      <c r="C8">
        <v>47.03</v>
      </c>
      <c r="D8">
        <v>43.41</v>
      </c>
      <c r="E8" s="4">
        <f t="shared" si="5"/>
        <v>8.3390923750288115E-2</v>
      </c>
      <c r="F8">
        <v>26.59</v>
      </c>
      <c r="G8">
        <v>26.73</v>
      </c>
      <c r="H8" s="4">
        <f t="shared" si="0"/>
        <v>-5.2375607931163248E-3</v>
      </c>
      <c r="I8" s="1">
        <v>22.68</v>
      </c>
      <c r="J8" s="1">
        <v>23.5</v>
      </c>
      <c r="K8" s="7">
        <f t="shared" si="1"/>
        <v>-3.4893617021276579E-2</v>
      </c>
      <c r="M8" s="3">
        <v>28.13</v>
      </c>
      <c r="N8" s="3">
        <v>27.85</v>
      </c>
      <c r="O8" s="6">
        <f t="shared" si="2"/>
        <v>1.0053859964093359E-2</v>
      </c>
      <c r="Q8">
        <v>40.9</v>
      </c>
      <c r="R8">
        <v>40.26</v>
      </c>
      <c r="S8" s="4">
        <f t="shared" si="3"/>
        <v>1.5896671634376469E-2</v>
      </c>
      <c r="U8">
        <v>43.49</v>
      </c>
      <c r="V8">
        <v>42.31</v>
      </c>
      <c r="W8" s="4">
        <f t="shared" si="4"/>
        <v>2.7889387851571801E-2</v>
      </c>
    </row>
    <row r="9" spans="2:23" x14ac:dyDescent="0.3">
      <c r="B9" t="s">
        <v>80</v>
      </c>
      <c r="C9">
        <v>263.62</v>
      </c>
      <c r="D9">
        <v>260.57</v>
      </c>
      <c r="E9" s="4">
        <f t="shared" si="5"/>
        <v>1.1705108032390665E-2</v>
      </c>
      <c r="F9">
        <v>250.74</v>
      </c>
      <c r="G9">
        <v>242.5</v>
      </c>
      <c r="H9" s="4">
        <f t="shared" si="0"/>
        <v>3.3979381443298928E-2</v>
      </c>
      <c r="I9" s="1">
        <v>188.24</v>
      </c>
      <c r="J9" s="1">
        <v>186.99</v>
      </c>
      <c r="K9" s="7">
        <f t="shared" si="1"/>
        <v>6.6848494571902783E-3</v>
      </c>
      <c r="M9" s="3">
        <v>211.28</v>
      </c>
      <c r="N9" s="3">
        <v>203.8</v>
      </c>
      <c r="O9" s="6">
        <f t="shared" si="2"/>
        <v>3.6702649656525921E-2</v>
      </c>
      <c r="Q9">
        <v>237.11</v>
      </c>
      <c r="R9">
        <v>228.52</v>
      </c>
      <c r="S9" s="4">
        <f t="shared" si="3"/>
        <v>3.7589707684228868E-2</v>
      </c>
      <c r="U9">
        <v>297.25</v>
      </c>
      <c r="V9">
        <v>290.74</v>
      </c>
      <c r="W9" s="4">
        <f t="shared" si="4"/>
        <v>2.2391139850037822E-2</v>
      </c>
    </row>
    <row r="10" spans="2:23" x14ac:dyDescent="0.3">
      <c r="B10" t="s">
        <v>16</v>
      </c>
      <c r="E10" s="4"/>
      <c r="H10" s="4"/>
      <c r="I10" s="1">
        <v>15.23</v>
      </c>
      <c r="J10" s="1">
        <v>14.78</v>
      </c>
      <c r="K10" s="7">
        <f t="shared" si="1"/>
        <v>3.0446549391069055E-2</v>
      </c>
      <c r="M10" s="3">
        <v>20.47</v>
      </c>
      <c r="N10" s="3">
        <v>19.010000000000002</v>
      </c>
      <c r="O10" s="6">
        <f t="shared" si="2"/>
        <v>7.6801683324565939E-2</v>
      </c>
      <c r="Q10">
        <v>22.09</v>
      </c>
      <c r="R10">
        <v>21.02</v>
      </c>
      <c r="S10" s="4">
        <f t="shared" si="3"/>
        <v>5.0903901046622346E-2</v>
      </c>
      <c r="U10">
        <v>27.92</v>
      </c>
      <c r="V10">
        <v>25.94</v>
      </c>
      <c r="W10" s="4">
        <f t="shared" si="4"/>
        <v>7.6329992289899673E-2</v>
      </c>
    </row>
    <row r="11" spans="2:23" x14ac:dyDescent="0.3">
      <c r="B11" t="s">
        <v>81</v>
      </c>
      <c r="C11">
        <v>108.5</v>
      </c>
      <c r="D11">
        <v>101.73</v>
      </c>
      <c r="E11" s="4">
        <f t="shared" si="5"/>
        <v>6.6548707362626525E-2</v>
      </c>
      <c r="F11">
        <v>101.82</v>
      </c>
      <c r="G11">
        <v>98.52</v>
      </c>
      <c r="H11" s="4">
        <f t="shared" si="0"/>
        <v>3.3495736906211881E-2</v>
      </c>
      <c r="I11" s="1">
        <v>98</v>
      </c>
      <c r="J11" s="1">
        <v>97.09</v>
      </c>
      <c r="K11" s="7">
        <f t="shared" si="1"/>
        <v>9.3727469358326765E-3</v>
      </c>
      <c r="M11" s="3">
        <v>96.69</v>
      </c>
      <c r="N11" s="3">
        <v>90.2</v>
      </c>
      <c r="O11" s="6">
        <f t="shared" si="2"/>
        <v>7.1951219512194964E-2</v>
      </c>
      <c r="Q11">
        <v>100.11</v>
      </c>
      <c r="R11">
        <v>97.43</v>
      </c>
      <c r="S11" s="4">
        <f t="shared" si="3"/>
        <v>2.7506928050908375E-2</v>
      </c>
      <c r="U11">
        <v>110.8</v>
      </c>
      <c r="V11">
        <v>106.34</v>
      </c>
      <c r="W11" s="4">
        <f t="shared" si="4"/>
        <v>4.1940944141433123E-2</v>
      </c>
    </row>
    <row r="12" spans="2:23" x14ac:dyDescent="0.3">
      <c r="B12" t="s">
        <v>24</v>
      </c>
      <c r="E12" s="4"/>
      <c r="H12" s="4"/>
      <c r="I12" s="1">
        <v>41.67</v>
      </c>
      <c r="J12" s="1">
        <v>40.549999999999997</v>
      </c>
      <c r="K12" s="7">
        <f t="shared" si="1"/>
        <v>2.7620221948212231E-2</v>
      </c>
      <c r="M12" s="3">
        <v>50.16</v>
      </c>
      <c r="N12" s="3">
        <v>49.5</v>
      </c>
      <c r="O12" s="6">
        <f t="shared" si="2"/>
        <v>1.3333333333333197E-2</v>
      </c>
      <c r="Q12">
        <v>75.05</v>
      </c>
      <c r="R12">
        <v>75.510000000000005</v>
      </c>
      <c r="S12" s="4">
        <f t="shared" si="3"/>
        <v>-6.0919083565091903E-3</v>
      </c>
      <c r="U12">
        <v>63.78</v>
      </c>
      <c r="V12">
        <v>60.93</v>
      </c>
      <c r="W12" s="4">
        <f t="shared" si="4"/>
        <v>4.6774987690792802E-2</v>
      </c>
    </row>
    <row r="13" spans="2:23" x14ac:dyDescent="0.3">
      <c r="B13" t="s">
        <v>82</v>
      </c>
      <c r="C13">
        <v>99.35</v>
      </c>
      <c r="D13">
        <v>93.57</v>
      </c>
      <c r="E13" s="4">
        <f t="shared" si="5"/>
        <v>6.1771935449396187E-2</v>
      </c>
      <c r="F13">
        <v>105.04</v>
      </c>
      <c r="G13">
        <v>105.15</v>
      </c>
      <c r="H13" s="4">
        <f t="shared" si="0"/>
        <v>-1.0461245839277211E-3</v>
      </c>
      <c r="I13" s="1">
        <v>92.02</v>
      </c>
      <c r="J13" s="1">
        <v>94.39</v>
      </c>
      <c r="K13" s="7">
        <f t="shared" si="1"/>
        <v>-2.510859201186566E-2</v>
      </c>
      <c r="M13" s="3">
        <v>91.12</v>
      </c>
      <c r="N13" s="3">
        <v>85.57</v>
      </c>
      <c r="O13" s="6">
        <f t="shared" si="2"/>
        <v>6.4859179619025431E-2</v>
      </c>
      <c r="Q13">
        <v>96.13</v>
      </c>
      <c r="R13">
        <v>95.09</v>
      </c>
      <c r="S13" s="4">
        <f t="shared" si="3"/>
        <v>1.0937007045956459E-2</v>
      </c>
      <c r="U13">
        <v>112.52</v>
      </c>
      <c r="V13">
        <v>109.39</v>
      </c>
      <c r="W13" s="4">
        <f t="shared" si="4"/>
        <v>2.8613218758570147E-2</v>
      </c>
    </row>
    <row r="14" spans="2:23" x14ac:dyDescent="0.3">
      <c r="B14" t="s">
        <v>83</v>
      </c>
      <c r="C14">
        <v>20.56</v>
      </c>
      <c r="D14">
        <v>20.079999999999998</v>
      </c>
      <c r="E14" s="4">
        <f t="shared" si="5"/>
        <v>2.3904382470119501E-2</v>
      </c>
      <c r="F14">
        <v>28.22</v>
      </c>
      <c r="G14">
        <v>27.56</v>
      </c>
      <c r="H14" s="4">
        <f>(F14/G14)-1</f>
        <v>2.3947750362844689E-2</v>
      </c>
      <c r="I14" s="1">
        <v>10.08</v>
      </c>
      <c r="J14" s="1">
        <v>9.58</v>
      </c>
      <c r="K14" s="7">
        <f t="shared" si="1"/>
        <v>5.2192066805845538E-2</v>
      </c>
      <c r="M14" s="3">
        <v>20.53</v>
      </c>
      <c r="N14" s="3">
        <v>18.59</v>
      </c>
      <c r="O14" s="6">
        <f t="shared" si="2"/>
        <v>0.10435718128025817</v>
      </c>
      <c r="U14">
        <v>24.28</v>
      </c>
      <c r="V14">
        <v>23.16</v>
      </c>
      <c r="W14" s="4">
        <f t="shared" si="4"/>
        <v>4.8359240069084652E-2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95"/>
  <sheetViews>
    <sheetView zoomScale="85" zoomScaleNormal="85" workbookViewId="0">
      <selection activeCell="M77" sqref="M77"/>
    </sheetView>
  </sheetViews>
  <sheetFormatPr defaultRowHeight="14.4" x14ac:dyDescent="0.3"/>
  <cols>
    <col min="2" max="2" width="34.44140625" customWidth="1"/>
    <col min="3" max="3" width="8.33203125" bestFit="1" customWidth="1"/>
    <col min="4" max="5" width="11.88671875" customWidth="1"/>
    <col min="6" max="6" width="8.88671875" bestFit="1" customWidth="1"/>
    <col min="7" max="7" width="9.109375" bestFit="1" customWidth="1"/>
    <col min="8" max="8" width="6.109375" bestFit="1" customWidth="1"/>
  </cols>
  <sheetData>
    <row r="1" spans="2:8" x14ac:dyDescent="0.3">
      <c r="C1" t="s">
        <v>38</v>
      </c>
      <c r="D1" t="s">
        <v>33</v>
      </c>
      <c r="F1" t="s">
        <v>38</v>
      </c>
    </row>
    <row r="2" spans="2:8" x14ac:dyDescent="0.3">
      <c r="B2" s="5" t="s">
        <v>38</v>
      </c>
      <c r="C2" t="s">
        <v>56</v>
      </c>
      <c r="D2" t="s">
        <v>57</v>
      </c>
      <c r="E2" t="s">
        <v>58</v>
      </c>
      <c r="F2" t="s">
        <v>54</v>
      </c>
      <c r="G2" t="s">
        <v>55</v>
      </c>
      <c r="H2" t="s">
        <v>53</v>
      </c>
    </row>
    <row r="3" spans="2:8" x14ac:dyDescent="0.3">
      <c r="B3" t="s">
        <v>106</v>
      </c>
      <c r="C3" s="2">
        <f t="shared" ref="C3:C13" si="0">F3/H3</f>
        <v>0.24022346368715083</v>
      </c>
      <c r="D3" s="2">
        <f t="shared" ref="D3:D13" si="1">G3/H3</f>
        <v>0.15642458100558659</v>
      </c>
      <c r="E3" s="2">
        <f t="shared" ref="E3:E13" si="2">100%-SUM(C3:D3)</f>
        <v>0.6033519553072626</v>
      </c>
      <c r="F3">
        <v>43</v>
      </c>
      <c r="G3">
        <v>28</v>
      </c>
      <c r="H3">
        <v>179</v>
      </c>
    </row>
    <row r="4" spans="2:8" x14ac:dyDescent="0.3">
      <c r="B4" t="s">
        <v>107</v>
      </c>
      <c r="C4" s="2">
        <f t="shared" si="0"/>
        <v>0.22727272727272727</v>
      </c>
      <c r="D4" s="2">
        <f t="shared" si="1"/>
        <v>0.19318181818181818</v>
      </c>
      <c r="E4" s="2">
        <f t="shared" si="2"/>
        <v>0.57954545454545459</v>
      </c>
      <c r="F4">
        <v>20</v>
      </c>
      <c r="G4">
        <v>17</v>
      </c>
      <c r="H4">
        <v>88</v>
      </c>
    </row>
    <row r="5" spans="2:8" x14ac:dyDescent="0.3">
      <c r="B5" t="s">
        <v>108</v>
      </c>
      <c r="C5" s="2">
        <f t="shared" si="0"/>
        <v>0.28000000000000003</v>
      </c>
      <c r="D5" s="2">
        <f t="shared" si="1"/>
        <v>0.12</v>
      </c>
      <c r="E5" s="2">
        <f t="shared" si="2"/>
        <v>0.6</v>
      </c>
      <c r="F5">
        <v>14</v>
      </c>
      <c r="G5">
        <v>6</v>
      </c>
      <c r="H5">
        <v>50</v>
      </c>
    </row>
    <row r="6" spans="2:8" x14ac:dyDescent="0.3">
      <c r="B6" t="s">
        <v>117</v>
      </c>
      <c r="C6" s="2">
        <f t="shared" si="0"/>
        <v>9.3023255813953487E-2</v>
      </c>
      <c r="D6" s="2">
        <f t="shared" si="1"/>
        <v>0.16279069767441862</v>
      </c>
      <c r="E6" s="2">
        <f t="shared" si="2"/>
        <v>0.7441860465116279</v>
      </c>
      <c r="F6">
        <v>4</v>
      </c>
      <c r="G6">
        <v>7</v>
      </c>
      <c r="H6">
        <v>43</v>
      </c>
    </row>
    <row r="7" spans="2:8" x14ac:dyDescent="0.3">
      <c r="B7" t="s">
        <v>118</v>
      </c>
      <c r="C7" s="2">
        <f t="shared" si="0"/>
        <v>0.45833333333333331</v>
      </c>
      <c r="D7" s="2">
        <f t="shared" si="1"/>
        <v>0.16666666666666666</v>
      </c>
      <c r="E7" s="2">
        <f t="shared" si="2"/>
        <v>0.375</v>
      </c>
      <c r="F7">
        <v>11</v>
      </c>
      <c r="G7">
        <v>4</v>
      </c>
      <c r="H7">
        <v>24</v>
      </c>
    </row>
    <row r="8" spans="2:8" x14ac:dyDescent="0.3">
      <c r="B8" t="s">
        <v>119</v>
      </c>
      <c r="C8" s="2">
        <f t="shared" si="0"/>
        <v>0.3595505617977528</v>
      </c>
      <c r="D8" s="2">
        <f t="shared" si="1"/>
        <v>0.12359550561797752</v>
      </c>
      <c r="E8" s="2">
        <f t="shared" si="2"/>
        <v>0.5168539325842697</v>
      </c>
      <c r="F8">
        <v>64</v>
      </c>
      <c r="G8">
        <v>22</v>
      </c>
      <c r="H8">
        <v>178</v>
      </c>
    </row>
    <row r="9" spans="2:8" x14ac:dyDescent="0.3">
      <c r="B9" t="s">
        <v>120</v>
      </c>
      <c r="C9" s="2">
        <f t="shared" si="0"/>
        <v>0.72222222222222221</v>
      </c>
      <c r="D9" s="2">
        <f t="shared" si="1"/>
        <v>0.16666666666666666</v>
      </c>
      <c r="E9" s="2">
        <f t="shared" si="2"/>
        <v>0.11111111111111116</v>
      </c>
      <c r="F9">
        <v>13</v>
      </c>
      <c r="G9">
        <v>3</v>
      </c>
      <c r="H9">
        <v>18</v>
      </c>
    </row>
    <row r="10" spans="2:8" x14ac:dyDescent="0.3">
      <c r="B10" t="s">
        <v>121</v>
      </c>
      <c r="C10" s="2">
        <f t="shared" si="0"/>
        <v>0.43939393939393939</v>
      </c>
      <c r="D10" s="2">
        <f t="shared" si="1"/>
        <v>0.10606060606060606</v>
      </c>
      <c r="E10" s="2">
        <f t="shared" si="2"/>
        <v>0.45454545454545459</v>
      </c>
      <c r="F10">
        <v>29</v>
      </c>
      <c r="G10">
        <v>7</v>
      </c>
      <c r="H10">
        <v>66</v>
      </c>
    </row>
    <row r="11" spans="2:8" x14ac:dyDescent="0.3">
      <c r="B11" t="s">
        <v>122</v>
      </c>
      <c r="C11" s="2">
        <f>F11/H11</f>
        <v>0.44444444444444442</v>
      </c>
      <c r="D11" s="2">
        <f>G11/H11</f>
        <v>0</v>
      </c>
      <c r="E11" s="2">
        <f>100%-SUM(C11:D11)</f>
        <v>0.55555555555555558</v>
      </c>
      <c r="F11">
        <v>8</v>
      </c>
      <c r="G11">
        <v>0</v>
      </c>
      <c r="H11">
        <v>18</v>
      </c>
    </row>
    <row r="12" spans="2:8" x14ac:dyDescent="0.3">
      <c r="B12" t="s">
        <v>116</v>
      </c>
      <c r="C12" s="2">
        <f t="shared" si="0"/>
        <v>0.51851851851851849</v>
      </c>
      <c r="D12" s="2">
        <f t="shared" si="1"/>
        <v>0.14814814814814814</v>
      </c>
      <c r="E12" s="2">
        <f t="shared" si="2"/>
        <v>0.33333333333333337</v>
      </c>
      <c r="F12">
        <v>28</v>
      </c>
      <c r="G12">
        <v>8</v>
      </c>
      <c r="H12">
        <v>54</v>
      </c>
    </row>
    <row r="13" spans="2:8" x14ac:dyDescent="0.3">
      <c r="B13" t="s">
        <v>123</v>
      </c>
      <c r="C13" s="2">
        <f t="shared" si="0"/>
        <v>0.9</v>
      </c>
      <c r="D13" s="2">
        <f t="shared" si="1"/>
        <v>0.05</v>
      </c>
      <c r="E13" s="2">
        <f t="shared" si="2"/>
        <v>4.9999999999999933E-2</v>
      </c>
      <c r="F13">
        <v>18</v>
      </c>
      <c r="G13">
        <v>1</v>
      </c>
      <c r="H13">
        <v>20</v>
      </c>
    </row>
    <row r="17" spans="2:8" x14ac:dyDescent="0.3">
      <c r="B17" s="5" t="s">
        <v>63</v>
      </c>
    </row>
    <row r="18" spans="2:8" x14ac:dyDescent="0.3">
      <c r="C18" t="s">
        <v>56</v>
      </c>
      <c r="D18" t="s">
        <v>57</v>
      </c>
      <c r="E18" t="s">
        <v>58</v>
      </c>
      <c r="F18" t="s">
        <v>56</v>
      </c>
      <c r="G18" t="s">
        <v>57</v>
      </c>
      <c r="H18" t="s">
        <v>53</v>
      </c>
    </row>
    <row r="19" spans="2:8" x14ac:dyDescent="0.3">
      <c r="B19" t="s">
        <v>124</v>
      </c>
      <c r="C19" s="2">
        <f>F19/H19</f>
        <v>3.125E-2</v>
      </c>
      <c r="D19" s="2">
        <f>G19/H19</f>
        <v>0.7734375</v>
      </c>
      <c r="E19" s="2">
        <f>100%-SUM(C19:D19)</f>
        <v>0.1953125</v>
      </c>
      <c r="F19">
        <v>4</v>
      </c>
      <c r="G19">
        <v>99</v>
      </c>
      <c r="H19">
        <v>128</v>
      </c>
    </row>
    <row r="20" spans="2:8" x14ac:dyDescent="0.3">
      <c r="B20" t="s">
        <v>91</v>
      </c>
      <c r="C20" s="2">
        <f t="shared" ref="C20:C29" si="3">F20/H20</f>
        <v>8.3333333333333329E-2</v>
      </c>
      <c r="D20" s="2">
        <f t="shared" ref="D20:D29" si="4">G20/H20</f>
        <v>0.41666666666666669</v>
      </c>
      <c r="E20" s="2">
        <f t="shared" ref="E20:E29" si="5">100%-SUM(C20:D20)</f>
        <v>0.5</v>
      </c>
      <c r="F20">
        <v>6</v>
      </c>
      <c r="G20">
        <v>30</v>
      </c>
      <c r="H20">
        <v>72</v>
      </c>
    </row>
    <row r="21" spans="2:8" x14ac:dyDescent="0.3">
      <c r="B21" t="s">
        <v>125</v>
      </c>
      <c r="C21" s="2">
        <f t="shared" si="3"/>
        <v>0.26190476190476192</v>
      </c>
      <c r="D21" s="2">
        <f t="shared" si="4"/>
        <v>0.40476190476190477</v>
      </c>
      <c r="E21" s="2">
        <f t="shared" si="5"/>
        <v>0.33333333333333326</v>
      </c>
      <c r="F21">
        <v>11</v>
      </c>
      <c r="G21">
        <v>17</v>
      </c>
      <c r="H21">
        <v>42</v>
      </c>
    </row>
    <row r="22" spans="2:8" x14ac:dyDescent="0.3">
      <c r="B22" t="s">
        <v>110</v>
      </c>
      <c r="C22" s="2">
        <f t="shared" si="3"/>
        <v>0.33333333333333331</v>
      </c>
      <c r="D22" s="2">
        <f t="shared" si="4"/>
        <v>0.5</v>
      </c>
      <c r="E22" s="2">
        <f t="shared" si="5"/>
        <v>0.16666666666666674</v>
      </c>
      <c r="F22">
        <v>10</v>
      </c>
      <c r="G22">
        <v>15</v>
      </c>
      <c r="H22">
        <v>30</v>
      </c>
    </row>
    <row r="23" spans="2:8" x14ac:dyDescent="0.3">
      <c r="B23" t="s">
        <v>126</v>
      </c>
      <c r="C23" s="2">
        <f t="shared" si="3"/>
        <v>0</v>
      </c>
      <c r="D23" s="2">
        <f t="shared" si="4"/>
        <v>0.6</v>
      </c>
      <c r="E23" s="2">
        <f t="shared" si="5"/>
        <v>0.4</v>
      </c>
      <c r="G23">
        <v>9</v>
      </c>
      <c r="H23">
        <v>15</v>
      </c>
    </row>
    <row r="24" spans="2:8" x14ac:dyDescent="0.3">
      <c r="B24" t="s">
        <v>111</v>
      </c>
      <c r="C24" s="2">
        <f t="shared" si="3"/>
        <v>0.38364779874213839</v>
      </c>
      <c r="D24" s="2">
        <f t="shared" si="4"/>
        <v>0.21383647798742139</v>
      </c>
      <c r="E24" s="2">
        <f t="shared" si="5"/>
        <v>0.40251572327044016</v>
      </c>
      <c r="F24">
        <v>61</v>
      </c>
      <c r="G24">
        <v>34</v>
      </c>
      <c r="H24">
        <v>159</v>
      </c>
    </row>
    <row r="25" spans="2:8" x14ac:dyDescent="0.3">
      <c r="B25" t="s">
        <v>86</v>
      </c>
      <c r="C25" s="2">
        <f t="shared" si="3"/>
        <v>7.1428571428571425E-2</v>
      </c>
      <c r="D25" s="2">
        <f t="shared" si="4"/>
        <v>0.7142857142857143</v>
      </c>
      <c r="E25" s="2">
        <f t="shared" si="5"/>
        <v>0.2142857142857143</v>
      </c>
      <c r="F25">
        <v>1</v>
      </c>
      <c r="G25">
        <v>10</v>
      </c>
      <c r="H25">
        <v>14</v>
      </c>
    </row>
    <row r="26" spans="2:8" x14ac:dyDescent="0.3">
      <c r="B26" t="s">
        <v>127</v>
      </c>
      <c r="C26" s="2">
        <f t="shared" si="3"/>
        <v>6.3492063492063489E-2</v>
      </c>
      <c r="D26" s="2">
        <f t="shared" si="4"/>
        <v>0.46031746031746029</v>
      </c>
      <c r="E26" s="2">
        <f t="shared" si="5"/>
        <v>0.47619047619047628</v>
      </c>
      <c r="F26">
        <v>4</v>
      </c>
      <c r="G26">
        <v>29</v>
      </c>
      <c r="H26">
        <v>63</v>
      </c>
    </row>
    <row r="27" spans="2:8" x14ac:dyDescent="0.3">
      <c r="B27" t="s">
        <v>113</v>
      </c>
      <c r="C27" s="2">
        <f t="shared" si="3"/>
        <v>0.14285714285714285</v>
      </c>
      <c r="D27" s="2">
        <f t="shared" si="4"/>
        <v>0.35714285714285715</v>
      </c>
      <c r="E27" s="2">
        <f t="shared" si="5"/>
        <v>0.5</v>
      </c>
      <c r="F27">
        <v>2</v>
      </c>
      <c r="G27">
        <v>5</v>
      </c>
      <c r="H27">
        <v>14</v>
      </c>
    </row>
    <row r="28" spans="2:8" x14ac:dyDescent="0.3">
      <c r="B28" t="s">
        <v>62</v>
      </c>
      <c r="C28" s="2">
        <f t="shared" si="3"/>
        <v>4.4444444444444446E-2</v>
      </c>
      <c r="D28" s="2">
        <f t="shared" si="4"/>
        <v>0.68888888888888888</v>
      </c>
      <c r="E28" s="2">
        <f t="shared" si="5"/>
        <v>0.26666666666666672</v>
      </c>
      <c r="F28">
        <v>2</v>
      </c>
      <c r="G28">
        <v>31</v>
      </c>
      <c r="H28">
        <v>45</v>
      </c>
    </row>
    <row r="29" spans="2:8" x14ac:dyDescent="0.3">
      <c r="B29" t="s">
        <v>128</v>
      </c>
      <c r="C29" s="2">
        <f t="shared" si="3"/>
        <v>0.53333333333333333</v>
      </c>
      <c r="D29" s="2">
        <f t="shared" si="4"/>
        <v>6.6666666666666666E-2</v>
      </c>
      <c r="E29" s="2">
        <f t="shared" si="5"/>
        <v>0.4</v>
      </c>
      <c r="F29">
        <v>8</v>
      </c>
      <c r="G29">
        <v>1</v>
      </c>
      <c r="H29">
        <v>15</v>
      </c>
    </row>
    <row r="34" spans="2:8" x14ac:dyDescent="0.3">
      <c r="B34" s="5" t="s">
        <v>76</v>
      </c>
      <c r="C34" t="s">
        <v>56</v>
      </c>
      <c r="D34" t="s">
        <v>57</v>
      </c>
      <c r="E34" t="s">
        <v>58</v>
      </c>
      <c r="F34" t="s">
        <v>56</v>
      </c>
      <c r="G34" t="s">
        <v>57</v>
      </c>
      <c r="H34" t="s">
        <v>53</v>
      </c>
    </row>
    <row r="35" spans="2:8" x14ac:dyDescent="0.3">
      <c r="B35" t="s">
        <v>64</v>
      </c>
      <c r="C35" s="2">
        <f>F35/H35</f>
        <v>0.15172413793103448</v>
      </c>
      <c r="D35" s="2">
        <f>G35/H35</f>
        <v>0.15862068965517243</v>
      </c>
      <c r="E35" s="2">
        <f>100%-SUM(C35:D35)</f>
        <v>0.68965517241379315</v>
      </c>
      <c r="F35">
        <v>22</v>
      </c>
      <c r="G35">
        <v>23</v>
      </c>
      <c r="H35">
        <v>145</v>
      </c>
    </row>
    <row r="36" spans="2:8" x14ac:dyDescent="0.3">
      <c r="B36" t="s">
        <v>65</v>
      </c>
      <c r="C36" s="2">
        <f t="shared" ref="C36:C45" si="6">F36/H36</f>
        <v>0.48529411764705882</v>
      </c>
      <c r="D36" s="2">
        <f t="shared" ref="D36:D45" si="7">G36/H36</f>
        <v>8.8235294117647065E-2</v>
      </c>
      <c r="E36" s="2">
        <f t="shared" ref="E36:E45" si="8">100%-SUM(C36:D36)</f>
        <v>0.42647058823529416</v>
      </c>
      <c r="F36">
        <v>33</v>
      </c>
      <c r="G36">
        <v>6</v>
      </c>
      <c r="H36">
        <v>68</v>
      </c>
    </row>
    <row r="37" spans="2:8" x14ac:dyDescent="0.3">
      <c r="B37" t="s">
        <v>102</v>
      </c>
      <c r="C37" s="2">
        <f t="shared" si="6"/>
        <v>0.57499999999999996</v>
      </c>
      <c r="D37" s="2">
        <f t="shared" si="7"/>
        <v>0.05</v>
      </c>
      <c r="E37" s="2">
        <f t="shared" si="8"/>
        <v>0.375</v>
      </c>
      <c r="F37">
        <v>23</v>
      </c>
      <c r="G37">
        <v>2</v>
      </c>
      <c r="H37">
        <v>40</v>
      </c>
    </row>
    <row r="38" spans="2:8" x14ac:dyDescent="0.3">
      <c r="B38" t="s">
        <v>109</v>
      </c>
      <c r="C38" s="2">
        <f t="shared" si="6"/>
        <v>0.26315789473684209</v>
      </c>
      <c r="D38" s="2">
        <f t="shared" si="7"/>
        <v>0.21052631578947367</v>
      </c>
      <c r="E38" s="2">
        <f t="shared" si="8"/>
        <v>0.52631578947368429</v>
      </c>
      <c r="F38">
        <v>5</v>
      </c>
      <c r="G38">
        <v>4</v>
      </c>
      <c r="H38">
        <v>19</v>
      </c>
    </row>
    <row r="39" spans="2:8" x14ac:dyDescent="0.3">
      <c r="B39" t="s">
        <v>67</v>
      </c>
      <c r="C39" s="2">
        <f t="shared" si="6"/>
        <v>0.33333333333333331</v>
      </c>
      <c r="D39" s="2">
        <f t="shared" si="7"/>
        <v>8.3333333333333329E-2</v>
      </c>
      <c r="E39" s="2">
        <f t="shared" si="8"/>
        <v>0.58333333333333337</v>
      </c>
      <c r="F39">
        <v>4</v>
      </c>
      <c r="G39">
        <v>1</v>
      </c>
      <c r="H39">
        <v>12</v>
      </c>
    </row>
    <row r="40" spans="2:8" x14ac:dyDescent="0.3">
      <c r="B40" t="s">
        <v>129</v>
      </c>
      <c r="C40" s="2">
        <f t="shared" si="6"/>
        <v>0.10563380281690141</v>
      </c>
      <c r="D40" s="2">
        <f t="shared" si="7"/>
        <v>0.26056338028169013</v>
      </c>
      <c r="E40" s="2">
        <f t="shared" si="8"/>
        <v>0.63380281690140849</v>
      </c>
      <c r="F40">
        <v>15</v>
      </c>
      <c r="G40">
        <v>37</v>
      </c>
      <c r="H40">
        <v>142</v>
      </c>
    </row>
    <row r="41" spans="2:8" x14ac:dyDescent="0.3">
      <c r="B41" t="s">
        <v>87</v>
      </c>
      <c r="C41" s="2">
        <f t="shared" si="6"/>
        <v>0.125</v>
      </c>
      <c r="D41" s="2">
        <f t="shared" si="7"/>
        <v>0.1875</v>
      </c>
      <c r="E41" s="2">
        <f t="shared" si="8"/>
        <v>0.6875</v>
      </c>
      <c r="F41">
        <v>2</v>
      </c>
      <c r="G41">
        <v>3</v>
      </c>
      <c r="H41">
        <v>16</v>
      </c>
    </row>
    <row r="42" spans="2:8" x14ac:dyDescent="0.3">
      <c r="B42" t="s">
        <v>68</v>
      </c>
      <c r="C42" s="2">
        <f t="shared" si="6"/>
        <v>6.8965517241379309E-2</v>
      </c>
      <c r="D42" s="2">
        <f t="shared" si="7"/>
        <v>0.22413793103448276</v>
      </c>
      <c r="E42" s="2">
        <f t="shared" si="8"/>
        <v>0.7068965517241379</v>
      </c>
      <c r="F42">
        <v>4</v>
      </c>
      <c r="G42">
        <v>13</v>
      </c>
      <c r="H42">
        <v>58</v>
      </c>
    </row>
    <row r="43" spans="2:8" x14ac:dyDescent="0.3">
      <c r="B43" t="s">
        <v>89</v>
      </c>
      <c r="C43" s="2">
        <f t="shared" si="6"/>
        <v>0.36363636363636365</v>
      </c>
      <c r="D43" s="2">
        <f t="shared" si="7"/>
        <v>0.45454545454545453</v>
      </c>
      <c r="E43" s="2">
        <f t="shared" si="8"/>
        <v>0.18181818181818188</v>
      </c>
      <c r="F43">
        <v>4</v>
      </c>
      <c r="G43">
        <v>5</v>
      </c>
      <c r="H43">
        <v>11</v>
      </c>
    </row>
    <row r="44" spans="2:8" x14ac:dyDescent="0.3">
      <c r="B44" t="s">
        <v>69</v>
      </c>
      <c r="C44" s="2">
        <f t="shared" si="6"/>
        <v>0.22</v>
      </c>
      <c r="D44" s="2">
        <f t="shared" si="7"/>
        <v>0.2</v>
      </c>
      <c r="E44" s="2">
        <f t="shared" si="8"/>
        <v>0.57999999999999996</v>
      </c>
      <c r="F44">
        <v>11</v>
      </c>
      <c r="G44">
        <v>10</v>
      </c>
      <c r="H44">
        <v>50</v>
      </c>
    </row>
    <row r="45" spans="2:8" x14ac:dyDescent="0.3">
      <c r="B45" t="s">
        <v>115</v>
      </c>
      <c r="C45" s="2">
        <f t="shared" si="6"/>
        <v>0.29411764705882354</v>
      </c>
      <c r="D45" s="2">
        <f t="shared" si="7"/>
        <v>0.11764705882352941</v>
      </c>
      <c r="E45" s="2">
        <f t="shared" si="8"/>
        <v>0.58823529411764708</v>
      </c>
      <c r="F45">
        <v>5</v>
      </c>
      <c r="G45">
        <v>2</v>
      </c>
      <c r="H45">
        <v>17</v>
      </c>
    </row>
    <row r="51" spans="2:8" x14ac:dyDescent="0.3">
      <c r="B51" s="5" t="s">
        <v>59</v>
      </c>
      <c r="C51" t="s">
        <v>56</v>
      </c>
      <c r="D51" t="s">
        <v>57</v>
      </c>
      <c r="E51" t="s">
        <v>58</v>
      </c>
      <c r="F51" t="s">
        <v>56</v>
      </c>
      <c r="G51" t="s">
        <v>57</v>
      </c>
      <c r="H51" t="s">
        <v>53</v>
      </c>
    </row>
    <row r="52" spans="2:8" x14ac:dyDescent="0.3">
      <c r="B52" t="s">
        <v>130</v>
      </c>
      <c r="C52" s="2">
        <f t="shared" ref="C52:C61" si="9">F52/H52</f>
        <v>0.26168224299065418</v>
      </c>
      <c r="D52" s="2">
        <f t="shared" ref="D52:D61" si="10">G52/H52</f>
        <v>0.12149532710280374</v>
      </c>
      <c r="E52" s="2">
        <f t="shared" ref="E52:E61" si="11">100%-SUM(C52:D52)</f>
        <v>0.61682242990654212</v>
      </c>
      <c r="F52">
        <v>28</v>
      </c>
      <c r="G52">
        <v>13</v>
      </c>
      <c r="H52">
        <v>107</v>
      </c>
    </row>
    <row r="53" spans="2:8" x14ac:dyDescent="0.3">
      <c r="B53" t="s">
        <v>70</v>
      </c>
      <c r="C53" s="2">
        <f t="shared" si="9"/>
        <v>0.29230769230769232</v>
      </c>
      <c r="D53" s="2">
        <f t="shared" si="10"/>
        <v>0.2153846153846154</v>
      </c>
      <c r="E53" s="2">
        <f t="shared" si="11"/>
        <v>0.49230769230769234</v>
      </c>
      <c r="F53">
        <v>19</v>
      </c>
      <c r="G53">
        <v>14</v>
      </c>
      <c r="H53">
        <v>65</v>
      </c>
    </row>
    <row r="54" spans="2:8" x14ac:dyDescent="0.3">
      <c r="B54" t="s">
        <v>103</v>
      </c>
      <c r="C54" s="2">
        <f t="shared" si="9"/>
        <v>0.53846153846153844</v>
      </c>
      <c r="D54" s="2">
        <f t="shared" si="10"/>
        <v>0.19230769230769232</v>
      </c>
      <c r="E54" s="2">
        <f t="shared" si="11"/>
        <v>0.26923076923076927</v>
      </c>
      <c r="F54">
        <v>14</v>
      </c>
      <c r="G54">
        <v>5</v>
      </c>
      <c r="H54">
        <v>26</v>
      </c>
    </row>
    <row r="55" spans="2:8" x14ac:dyDescent="0.3">
      <c r="B55" t="s">
        <v>66</v>
      </c>
      <c r="C55" s="2">
        <f t="shared" si="9"/>
        <v>0.86363636363636365</v>
      </c>
      <c r="D55" s="2">
        <f t="shared" si="10"/>
        <v>0</v>
      </c>
      <c r="E55" s="2">
        <f t="shared" si="11"/>
        <v>0.13636363636363635</v>
      </c>
      <c r="F55">
        <v>19</v>
      </c>
      <c r="H55">
        <v>22</v>
      </c>
    </row>
    <row r="56" spans="2:8" x14ac:dyDescent="0.3">
      <c r="B56" t="s">
        <v>71</v>
      </c>
      <c r="C56" s="2">
        <f t="shared" si="9"/>
        <v>0.45454545454545453</v>
      </c>
      <c r="D56" s="2">
        <f t="shared" si="10"/>
        <v>9.0909090909090912E-2</v>
      </c>
      <c r="E56" s="2">
        <f t="shared" si="11"/>
        <v>0.45454545454545459</v>
      </c>
      <c r="F56">
        <v>5</v>
      </c>
      <c r="G56">
        <v>1</v>
      </c>
      <c r="H56">
        <v>11</v>
      </c>
    </row>
    <row r="57" spans="2:8" x14ac:dyDescent="0.3">
      <c r="B57" t="s">
        <v>72</v>
      </c>
      <c r="C57" s="2">
        <f t="shared" si="9"/>
        <v>0.34234234234234234</v>
      </c>
      <c r="D57" s="2">
        <f t="shared" si="10"/>
        <v>0.15315315315315314</v>
      </c>
      <c r="E57" s="2">
        <f t="shared" si="11"/>
        <v>0.50450450450450446</v>
      </c>
      <c r="F57">
        <v>38</v>
      </c>
      <c r="G57">
        <v>17</v>
      </c>
      <c r="H57">
        <v>111</v>
      </c>
    </row>
    <row r="58" spans="2:8" x14ac:dyDescent="0.3">
      <c r="B58" t="s">
        <v>88</v>
      </c>
      <c r="C58" s="2">
        <f t="shared" si="9"/>
        <v>0.27272727272727271</v>
      </c>
      <c r="D58" s="2">
        <f t="shared" si="10"/>
        <v>9.0909090909090912E-2</v>
      </c>
      <c r="E58" s="2">
        <f t="shared" si="11"/>
        <v>0.63636363636363635</v>
      </c>
      <c r="F58">
        <v>3</v>
      </c>
      <c r="G58">
        <v>1</v>
      </c>
      <c r="H58">
        <v>11</v>
      </c>
    </row>
    <row r="59" spans="2:8" x14ac:dyDescent="0.3">
      <c r="B59" t="s">
        <v>73</v>
      </c>
      <c r="C59" s="2">
        <f t="shared" si="9"/>
        <v>0.4107142857142857</v>
      </c>
      <c r="D59" s="2">
        <f t="shared" si="10"/>
        <v>8.9285714285714288E-2</v>
      </c>
      <c r="E59" s="2">
        <f t="shared" si="11"/>
        <v>0.5</v>
      </c>
      <c r="F59">
        <v>23</v>
      </c>
      <c r="G59">
        <v>5</v>
      </c>
      <c r="H59">
        <v>56</v>
      </c>
    </row>
    <row r="60" spans="2:8" x14ac:dyDescent="0.3">
      <c r="B60" t="s">
        <v>131</v>
      </c>
      <c r="C60" s="2">
        <f t="shared" si="9"/>
        <v>0.2</v>
      </c>
      <c r="D60" s="2">
        <f t="shared" si="10"/>
        <v>0.3</v>
      </c>
      <c r="E60" s="2">
        <f t="shared" si="11"/>
        <v>0.5</v>
      </c>
      <c r="F60">
        <v>2</v>
      </c>
      <c r="G60">
        <v>3</v>
      </c>
      <c r="H60">
        <v>10</v>
      </c>
    </row>
    <row r="61" spans="2:8" x14ac:dyDescent="0.3">
      <c r="B61" t="s">
        <v>74</v>
      </c>
      <c r="C61" s="2">
        <f t="shared" si="9"/>
        <v>0.54761904761904767</v>
      </c>
      <c r="D61" s="2">
        <f t="shared" si="10"/>
        <v>0.11904761904761904</v>
      </c>
      <c r="E61" s="2">
        <f t="shared" si="11"/>
        <v>0.33333333333333326</v>
      </c>
      <c r="F61">
        <v>23</v>
      </c>
      <c r="G61">
        <v>5</v>
      </c>
      <c r="H61">
        <v>42</v>
      </c>
    </row>
    <row r="62" spans="2:8" x14ac:dyDescent="0.3">
      <c r="C62" s="2"/>
      <c r="D62" s="2"/>
      <c r="E62" s="2"/>
    </row>
    <row r="69" spans="2:15" x14ac:dyDescent="0.3">
      <c r="B69" s="5" t="s">
        <v>36</v>
      </c>
      <c r="C69" t="s">
        <v>56</v>
      </c>
      <c r="D69" t="s">
        <v>57</v>
      </c>
      <c r="E69" t="s">
        <v>58</v>
      </c>
      <c r="F69" t="s">
        <v>56</v>
      </c>
      <c r="G69" t="s">
        <v>57</v>
      </c>
      <c r="H69" t="s">
        <v>53</v>
      </c>
      <c r="M69" t="s">
        <v>56</v>
      </c>
      <c r="N69" t="s">
        <v>57</v>
      </c>
      <c r="O69" t="s">
        <v>58</v>
      </c>
    </row>
    <row r="70" spans="2:15" x14ac:dyDescent="0.3">
      <c r="B70" t="s">
        <v>132</v>
      </c>
      <c r="C70" s="2">
        <f t="shared" ref="C70:C80" si="12">F70/H70</f>
        <v>0.45222929936305734</v>
      </c>
      <c r="D70" s="2">
        <f t="shared" ref="D70:D80" si="13">G70/H70</f>
        <v>8.9171974522292988E-2</v>
      </c>
      <c r="E70" s="2">
        <f t="shared" ref="E70:E80" si="14">100%-SUM(C70:D70)</f>
        <v>0.45859872611464969</v>
      </c>
      <c r="F70">
        <v>71</v>
      </c>
      <c r="G70">
        <v>14</v>
      </c>
      <c r="H70">
        <v>157</v>
      </c>
      <c r="L70" t="s">
        <v>38</v>
      </c>
      <c r="M70">
        <v>286</v>
      </c>
      <c r="N70">
        <v>99</v>
      </c>
      <c r="O70">
        <v>401</v>
      </c>
    </row>
    <row r="71" spans="2:15" x14ac:dyDescent="0.3">
      <c r="B71" t="s">
        <v>91</v>
      </c>
      <c r="C71" s="2">
        <f t="shared" si="12"/>
        <v>0.1111111111111111</v>
      </c>
      <c r="D71" s="2">
        <f t="shared" si="13"/>
        <v>0.375</v>
      </c>
      <c r="E71" s="2">
        <f t="shared" si="14"/>
        <v>0.51388888888888884</v>
      </c>
      <c r="F71">
        <v>8</v>
      </c>
      <c r="G71">
        <v>27</v>
      </c>
      <c r="H71">
        <v>72</v>
      </c>
      <c r="L71" t="s">
        <v>33</v>
      </c>
      <c r="M71">
        <v>115</v>
      </c>
      <c r="N71">
        <v>306</v>
      </c>
      <c r="O71">
        <v>223</v>
      </c>
    </row>
    <row r="72" spans="2:15" x14ac:dyDescent="0.3">
      <c r="B72" t="s">
        <v>104</v>
      </c>
      <c r="C72" s="2">
        <f t="shared" si="12"/>
        <v>0</v>
      </c>
      <c r="D72" s="2">
        <f t="shared" si="13"/>
        <v>0.81818181818181823</v>
      </c>
      <c r="E72" s="2">
        <f t="shared" si="14"/>
        <v>0.18181818181818177</v>
      </c>
      <c r="G72">
        <v>18</v>
      </c>
      <c r="H72">
        <v>22</v>
      </c>
      <c r="L72" t="s">
        <v>34</v>
      </c>
      <c r="M72">
        <v>176</v>
      </c>
      <c r="N72">
        <v>71</v>
      </c>
      <c r="O72">
        <v>252</v>
      </c>
    </row>
    <row r="73" spans="2:15" x14ac:dyDescent="0.3">
      <c r="B73" t="s">
        <v>133</v>
      </c>
      <c r="C73" s="2">
        <f t="shared" si="12"/>
        <v>0.17857142857142858</v>
      </c>
      <c r="D73" s="2">
        <f t="shared" si="13"/>
        <v>0.25</v>
      </c>
      <c r="E73" s="2">
        <f t="shared" si="14"/>
        <v>0.5714285714285714</v>
      </c>
      <c r="F73">
        <v>5</v>
      </c>
      <c r="G73">
        <v>7</v>
      </c>
      <c r="H73">
        <v>28</v>
      </c>
      <c r="L73" t="s">
        <v>35</v>
      </c>
      <c r="M73">
        <v>147</v>
      </c>
      <c r="N73">
        <v>115</v>
      </c>
      <c r="O73">
        <v>357</v>
      </c>
    </row>
    <row r="74" spans="2:15" x14ac:dyDescent="0.3">
      <c r="B74" t="s">
        <v>71</v>
      </c>
      <c r="C74" s="2">
        <f t="shared" si="12"/>
        <v>9.0909090909090912E-2</v>
      </c>
      <c r="D74" s="2">
        <f t="shared" si="13"/>
        <v>0.18181818181818182</v>
      </c>
      <c r="E74" s="2">
        <f t="shared" si="14"/>
        <v>0.72727272727272729</v>
      </c>
      <c r="F74">
        <v>1</v>
      </c>
      <c r="G74">
        <v>2</v>
      </c>
      <c r="H74">
        <v>11</v>
      </c>
      <c r="L74" t="s">
        <v>36</v>
      </c>
      <c r="M74">
        <v>105</v>
      </c>
      <c r="N74">
        <v>200</v>
      </c>
      <c r="O74">
        <v>297</v>
      </c>
    </row>
    <row r="75" spans="2:15" x14ac:dyDescent="0.3">
      <c r="B75" t="s">
        <v>93</v>
      </c>
      <c r="C75" s="2">
        <f t="shared" si="12"/>
        <v>6.2015503875968991E-2</v>
      </c>
      <c r="D75" s="2">
        <f t="shared" si="13"/>
        <v>0.51162790697674421</v>
      </c>
      <c r="E75" s="2">
        <f t="shared" si="14"/>
        <v>0.4263565891472868</v>
      </c>
      <c r="F75">
        <v>8</v>
      </c>
      <c r="G75">
        <v>66</v>
      </c>
      <c r="H75">
        <v>129</v>
      </c>
      <c r="L75" t="s">
        <v>37</v>
      </c>
      <c r="M75">
        <v>124</v>
      </c>
      <c r="N75">
        <v>171</v>
      </c>
      <c r="O75">
        <v>328</v>
      </c>
    </row>
    <row r="76" spans="2:15" x14ac:dyDescent="0.3">
      <c r="B76" t="s">
        <v>112</v>
      </c>
      <c r="C76" s="2">
        <f t="shared" si="12"/>
        <v>7.6923076923076927E-2</v>
      </c>
      <c r="D76" s="2">
        <f t="shared" si="13"/>
        <v>0.15384615384615385</v>
      </c>
      <c r="E76" s="2">
        <f t="shared" si="14"/>
        <v>0.76923076923076916</v>
      </c>
      <c r="F76">
        <v>1</v>
      </c>
      <c r="G76">
        <v>2</v>
      </c>
      <c r="H76">
        <v>13</v>
      </c>
    </row>
    <row r="77" spans="2:15" x14ac:dyDescent="0.3">
      <c r="B77" t="s">
        <v>94</v>
      </c>
      <c r="C77" s="2">
        <f t="shared" si="12"/>
        <v>0.10526315789473684</v>
      </c>
      <c r="D77" s="2">
        <f t="shared" si="13"/>
        <v>0.21052631578947367</v>
      </c>
      <c r="E77" s="2">
        <f t="shared" si="14"/>
        <v>0.68421052631578949</v>
      </c>
      <c r="F77">
        <v>6</v>
      </c>
      <c r="G77">
        <v>12</v>
      </c>
      <c r="H77">
        <v>57</v>
      </c>
    </row>
    <row r="78" spans="2:15" x14ac:dyDescent="0.3">
      <c r="B78" t="s">
        <v>114</v>
      </c>
      <c r="C78" s="2">
        <f t="shared" si="12"/>
        <v>7.6923076923076927E-2</v>
      </c>
      <c r="D78" s="2">
        <f t="shared" si="13"/>
        <v>0.53846153846153844</v>
      </c>
      <c r="E78" s="2">
        <f t="shared" si="14"/>
        <v>0.38461538461538458</v>
      </c>
      <c r="F78">
        <v>1</v>
      </c>
      <c r="G78">
        <v>7</v>
      </c>
      <c r="H78">
        <v>13</v>
      </c>
    </row>
    <row r="79" spans="2:15" x14ac:dyDescent="0.3">
      <c r="B79" t="s">
        <v>95</v>
      </c>
      <c r="C79" s="2">
        <f t="shared" si="12"/>
        <v>6.5217391304347824E-2</v>
      </c>
      <c r="D79" s="2">
        <f t="shared" si="13"/>
        <v>0.36956521739130432</v>
      </c>
      <c r="E79" s="2">
        <f t="shared" si="14"/>
        <v>0.56521739130434789</v>
      </c>
      <c r="F79">
        <v>3</v>
      </c>
      <c r="G79">
        <v>17</v>
      </c>
      <c r="H79">
        <v>46</v>
      </c>
    </row>
    <row r="80" spans="2:15" x14ac:dyDescent="0.3">
      <c r="B80" t="s">
        <v>115</v>
      </c>
      <c r="C80" s="2">
        <f t="shared" si="12"/>
        <v>0</v>
      </c>
      <c r="D80" s="2">
        <f t="shared" si="13"/>
        <v>0.94117647058823528</v>
      </c>
      <c r="E80" s="2">
        <f t="shared" si="14"/>
        <v>5.8823529411764719E-2</v>
      </c>
      <c r="G80">
        <v>16</v>
      </c>
      <c r="H80">
        <v>17</v>
      </c>
    </row>
    <row r="84" spans="2:8" x14ac:dyDescent="0.3">
      <c r="B84" s="5" t="s">
        <v>37</v>
      </c>
      <c r="C84" t="s">
        <v>56</v>
      </c>
      <c r="D84" t="s">
        <v>57</v>
      </c>
      <c r="E84" t="s">
        <v>58</v>
      </c>
      <c r="F84" t="s">
        <v>56</v>
      </c>
      <c r="G84" t="s">
        <v>57</v>
      </c>
      <c r="H84" t="s">
        <v>53</v>
      </c>
    </row>
    <row r="85" spans="2:8" x14ac:dyDescent="0.3">
      <c r="B85" t="s">
        <v>134</v>
      </c>
      <c r="C85" s="2">
        <f t="shared" ref="C85:C94" si="15">F85/H85</f>
        <v>0.26428571428571429</v>
      </c>
      <c r="D85" s="2">
        <f t="shared" ref="D85:D94" si="16">G85/H85</f>
        <v>0.17857142857142858</v>
      </c>
      <c r="E85" s="2">
        <f t="shared" ref="E85:E94" si="17">100%-SUM(C85:D85)</f>
        <v>0.55714285714285716</v>
      </c>
      <c r="F85">
        <v>37</v>
      </c>
      <c r="G85">
        <v>25</v>
      </c>
      <c r="H85">
        <v>140</v>
      </c>
    </row>
    <row r="86" spans="2:8" x14ac:dyDescent="0.3">
      <c r="B86" t="s">
        <v>96</v>
      </c>
      <c r="C86" s="2">
        <f t="shared" si="15"/>
        <v>0.28169014084507044</v>
      </c>
      <c r="D86" s="2">
        <f t="shared" si="16"/>
        <v>0.26760563380281688</v>
      </c>
      <c r="E86" s="2">
        <f t="shared" si="17"/>
        <v>0.45070422535211274</v>
      </c>
      <c r="F86">
        <v>20</v>
      </c>
      <c r="G86">
        <v>19</v>
      </c>
      <c r="H86">
        <v>71</v>
      </c>
    </row>
    <row r="87" spans="2:8" x14ac:dyDescent="0.3">
      <c r="B87" t="s">
        <v>105</v>
      </c>
      <c r="C87" s="2">
        <f t="shared" si="15"/>
        <v>0.13636363636363635</v>
      </c>
      <c r="D87" s="2">
        <f t="shared" si="16"/>
        <v>0.29545454545454547</v>
      </c>
      <c r="E87" s="2">
        <f t="shared" si="17"/>
        <v>0.56818181818181812</v>
      </c>
      <c r="F87">
        <v>6</v>
      </c>
      <c r="G87">
        <v>13</v>
      </c>
      <c r="H87">
        <v>44</v>
      </c>
    </row>
    <row r="88" spans="2:8" x14ac:dyDescent="0.3">
      <c r="B88" t="s">
        <v>92</v>
      </c>
      <c r="C88" s="2">
        <f t="shared" si="15"/>
        <v>6.8965517241379309E-2</v>
      </c>
      <c r="D88" s="2">
        <f t="shared" si="16"/>
        <v>0.48275862068965519</v>
      </c>
      <c r="E88" s="2">
        <f t="shared" si="17"/>
        <v>0.44827586206896552</v>
      </c>
      <c r="F88">
        <v>2</v>
      </c>
      <c r="G88">
        <v>14</v>
      </c>
      <c r="H88">
        <v>29</v>
      </c>
    </row>
    <row r="89" spans="2:8" x14ac:dyDescent="0.3">
      <c r="B89" t="s">
        <v>61</v>
      </c>
      <c r="C89" s="2">
        <f t="shared" si="15"/>
        <v>0.41176470588235292</v>
      </c>
      <c r="D89" s="2">
        <f t="shared" si="16"/>
        <v>0.17647058823529413</v>
      </c>
      <c r="E89" s="2">
        <f t="shared" si="17"/>
        <v>0.41176470588235292</v>
      </c>
      <c r="F89">
        <v>7</v>
      </c>
      <c r="G89">
        <v>3</v>
      </c>
      <c r="H89">
        <v>17</v>
      </c>
    </row>
    <row r="90" spans="2:8" x14ac:dyDescent="0.3">
      <c r="B90" t="s">
        <v>135</v>
      </c>
      <c r="C90" s="2">
        <f t="shared" si="15"/>
        <v>0.19565217391304349</v>
      </c>
      <c r="D90" s="2">
        <f t="shared" si="16"/>
        <v>0.34782608695652173</v>
      </c>
      <c r="E90" s="2">
        <f t="shared" si="17"/>
        <v>0.45652173913043481</v>
      </c>
      <c r="F90">
        <v>27</v>
      </c>
      <c r="G90">
        <v>48</v>
      </c>
      <c r="H90">
        <v>138</v>
      </c>
    </row>
    <row r="91" spans="2:8" x14ac:dyDescent="0.3">
      <c r="B91" t="s">
        <v>97</v>
      </c>
      <c r="C91" s="2">
        <f t="shared" si="15"/>
        <v>0.13333333333333333</v>
      </c>
      <c r="D91" s="2">
        <f t="shared" si="16"/>
        <v>0.2</v>
      </c>
      <c r="E91" s="2">
        <f t="shared" si="17"/>
        <v>0.66666666666666663</v>
      </c>
      <c r="F91">
        <v>2</v>
      </c>
      <c r="G91">
        <v>3</v>
      </c>
      <c r="H91">
        <v>15</v>
      </c>
    </row>
    <row r="92" spans="2:8" x14ac:dyDescent="0.3">
      <c r="B92" t="s">
        <v>94</v>
      </c>
      <c r="C92" s="2">
        <f t="shared" si="15"/>
        <v>0.15789473684210525</v>
      </c>
      <c r="D92" s="2">
        <f t="shared" si="16"/>
        <v>0.26315789473684209</v>
      </c>
      <c r="E92" s="2">
        <f t="shared" si="17"/>
        <v>0.57894736842105265</v>
      </c>
      <c r="F92">
        <v>9</v>
      </c>
      <c r="G92">
        <v>15</v>
      </c>
      <c r="H92">
        <v>57</v>
      </c>
    </row>
    <row r="93" spans="2:8" x14ac:dyDescent="0.3">
      <c r="B93" t="s">
        <v>136</v>
      </c>
      <c r="C93" s="2">
        <f t="shared" si="15"/>
        <v>0.23529411764705882</v>
      </c>
      <c r="D93" s="2">
        <f t="shared" si="16"/>
        <v>5.8823529411764705E-2</v>
      </c>
      <c r="E93" s="2">
        <f t="shared" si="17"/>
        <v>0.70588235294117641</v>
      </c>
      <c r="F93">
        <v>4</v>
      </c>
      <c r="G93">
        <v>1</v>
      </c>
      <c r="H93">
        <v>17</v>
      </c>
    </row>
    <row r="94" spans="2:8" x14ac:dyDescent="0.3">
      <c r="B94" t="s">
        <v>62</v>
      </c>
      <c r="C94" s="2">
        <f t="shared" si="15"/>
        <v>0.24444444444444444</v>
      </c>
      <c r="D94" s="2">
        <f t="shared" si="16"/>
        <v>0.22222222222222221</v>
      </c>
      <c r="E94" s="2">
        <f t="shared" si="17"/>
        <v>0.53333333333333333</v>
      </c>
      <c r="F94">
        <v>11</v>
      </c>
      <c r="G94">
        <v>10</v>
      </c>
      <c r="H94">
        <v>45</v>
      </c>
    </row>
    <row r="95" spans="2:8" x14ac:dyDescent="0.3">
      <c r="C95" s="2"/>
      <c r="D95" s="2"/>
      <c r="E9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август 2023</vt:lpstr>
      <vt:lpstr>Ценовой баланс в категориях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2023-09-12T11:11:44Z</dcterms:modified>
</cp:coreProperties>
</file>